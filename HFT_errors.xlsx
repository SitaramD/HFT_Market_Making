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1\Project\Trading_Strategy\sitaram\"/>
    </mc:Choice>
  </mc:AlternateContent>
  <bookViews>
    <workbookView xWindow="0" yWindow="0" windowWidth="20490" windowHeight="7320" activeTab="1"/>
  </bookViews>
  <sheets>
    <sheet name="History_flow" sheetId="1" r:id="rId1"/>
    <sheet name="Iive_Demo" sheetId="2"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3" i="2" l="1"/>
  <c r="C11" i="2" l="1"/>
  <c r="C12" i="2"/>
  <c r="C14" i="2" l="1"/>
  <c r="C8" i="2"/>
  <c r="C10" i="2" l="1"/>
  <c r="C9" i="2" l="1"/>
  <c r="C7" i="2" l="1"/>
  <c r="C6" i="2" l="1"/>
  <c r="C5" i="2"/>
  <c r="C4" i="2" l="1"/>
  <c r="C3" i="2"/>
  <c r="C17" i="2" l="1"/>
  <c r="C976" i="1"/>
</calcChain>
</file>

<file path=xl/sharedStrings.xml><?xml version="1.0" encoding="utf-8"?>
<sst xmlns="http://schemas.openxmlformats.org/spreadsheetml/2006/main" count="878" uniqueCount="785">
  <si>
    <t>This is the Framework finalized</t>
  </si>
  <si>
    <t>Kafka → Redis → (Mojo/Python) → Ray → TimescaleDB → Jenkins → Claude AI→ React</t>
  </si>
  <si>
    <t>Flow 1 — LIVE TRADING / BACKTESTING (data flow)</t>
  </si>
  <si>
    <t>Market Data → Kafka → Redis → Mojo → Ray</t>
  </si>
  <si>
    <t>→ TimescaleDB → Claude AI → React</t>
  </si>
  <si>
    <t>Flow 2 — DEVELOPMENT / DEPLOYMENT (Jenkins flow)</t>
  </si>
  <si>
    <t>Code Change → Jenkins → Build → Test</t>
  </si>
  <si>
    <t>→ Validate → Deploy → Flow 1 gets updated</t>
  </si>
  <si>
    <t>Complete Data Flow — Every Stage Explained</t>
  </si>
  <si>
    <t>Stage 1 — Market Data Arrives at Kafka</t>
  </si>
  <si>
    <t>Market tick data from NSE, BSE, or Crypto exchanges arrives continuously at Kafka. Every price change, every trade, every order book update lands here first.</t>
  </si>
  <si>
    <r>
      <t xml:space="preserve">Kafka's primary job is to act as a </t>
    </r>
    <r>
      <rPr>
        <b/>
        <sz val="12"/>
        <color theme="1"/>
        <rFont val="Times New Roman"/>
        <family val="1"/>
      </rPr>
      <t>buffer and decoupler</t>
    </r>
    <r>
      <rPr>
        <sz val="12"/>
        <color theme="1"/>
        <rFont val="Times New Roman"/>
        <family val="1"/>
      </rPr>
      <t>. It receives all incoming market data at up to 2 million messages per second, stores it safely, and makes it available to all downstream consumers. The critical advantage is fault tolerance — if Redis or Mojo is temporarily slow or restarting, Kafka holds the data patiently. Nothing is ever lost.</t>
    </r>
  </si>
  <si>
    <r>
      <t xml:space="preserve">Think of Kafka as the </t>
    </r>
    <r>
      <rPr>
        <b/>
        <sz val="12"/>
        <color theme="1"/>
        <rFont val="Times New Roman"/>
        <family val="1"/>
      </rPr>
      <t>post office</t>
    </r>
    <r>
      <rPr>
        <sz val="12"/>
        <color theme="1"/>
        <rFont val="Times New Roman"/>
        <family val="1"/>
      </rPr>
      <t xml:space="preserve"> of your system. Every piece of market data passes through it before going anywhere else.</t>
    </r>
  </si>
  <si>
    <t>Stage 2 — Redis Caches the Hot Data</t>
  </si>
  <si>
    <t>A Kafka consumer reads the incoming ticks and immediately pushes them into Redis. Redis holds the last 200 ticks per symbol entirely in RAM — never touching disk.</t>
  </si>
  <si>
    <t>The reason Redis sits here is speed. Mojo needs the last N prices to compute signals. If Mojo had to query TimescaleDB every single tick, that would take 50 milliseconds per query. Reading from Redis takes less than 0.1 milliseconds. That is 500 times faster on the critical hot path.</t>
  </si>
  <si>
    <t>Redis also stores pre-computed indicator values, the latest signal per symbol, and strategy configuration parameters — all instantly accessible in memory.</t>
  </si>
  <si>
    <r>
      <t xml:space="preserve">Think of Redis as your system's </t>
    </r>
    <r>
      <rPr>
        <b/>
        <sz val="12"/>
        <color theme="1"/>
        <rFont val="Times New Roman"/>
        <family val="1"/>
      </rPr>
      <t>short-term memory</t>
    </r>
    <r>
      <rPr>
        <sz val="12"/>
        <color theme="1"/>
        <rFont val="Times New Roman"/>
        <family val="1"/>
      </rPr>
      <t xml:space="preserve"> — everything needed right now, instantly available.</t>
    </r>
  </si>
  <si>
    <t>Stage 3 — Mojo Computes the Signal</t>
  </si>
  <si>
    <t>Mojo reads the last 50 prices from Redis as a raw numerical array and runs the strategy computation at near-hardware speed.</t>
  </si>
  <si>
    <t>In this stage Mojo calculates indicators like moving averages, RSI, MACD, and VWAP, applies your signal logic, and outputs one of three results — BUY, SELL, or HOLD. Crucially, Mojo uses fixed-point arithmetic here, which means the numbers are identical to what your FPGA on the Kria KV260 would compute. This consistency between software backtest and hardware execution is a major advantage.</t>
  </si>
  <si>
    <t>The reason Mojo is used here instead of anything else is raw speed. Pure Python would take around 50,000 nanoseconds for the same calculation. Mojo takes 400 to 450 nanoseconds — roughly 100 times faster.</t>
  </si>
  <si>
    <r>
      <t xml:space="preserve">Think of Mojo as the </t>
    </r>
    <r>
      <rPr>
        <b/>
        <sz val="12"/>
        <color theme="1"/>
        <rFont val="Times New Roman"/>
        <family val="1"/>
      </rPr>
      <t>brain</t>
    </r>
    <r>
      <rPr>
        <sz val="12"/>
        <color theme="1"/>
        <rFont val="Times New Roman"/>
        <family val="1"/>
      </rPr>
      <t xml:space="preserve"> of your system — pure computation, no distractions, no network calls, just numbers in and signals out.</t>
    </r>
  </si>
  <si>
    <t>Stage 4 — Ray Distributes Across All Symbols</t>
  </si>
  <si>
    <t>You are not trading one symbol — you are trading hundreds simultaneously. NIFTY, BANKNIFTY, RELIANCE, TCS, INFY, HDFC, and many more.</t>
  </si>
  <si>
    <t>Without Ray, your system would process symbol 1, then symbol 2, then symbol 3 — one after another sequentially. With Ray, all symbols are processed simultaneously. Each Ray worker handles one symbol and calls its own Mojo kernel independently. The total time becomes equal to processing just one symbol, regardless of how many symbols you have.</t>
  </si>
  <si>
    <t>For backtesting specifically, Ray splits historical data across workers. Each worker runs the full strategy on its assigned chunk of data. Results are collected and merged at the end. A backtest that would take hours sequentially completes in minutes with Ray.</t>
  </si>
  <si>
    <r>
      <t xml:space="preserve">Think of Ray as the </t>
    </r>
    <r>
      <rPr>
        <b/>
        <sz val="12"/>
        <color theme="1"/>
        <rFont val="Times New Roman"/>
        <family val="1"/>
      </rPr>
      <t>multiplier</t>
    </r>
    <r>
      <rPr>
        <sz val="12"/>
        <color theme="1"/>
        <rFont val="Times New Roman"/>
        <family val="1"/>
      </rPr>
      <t xml:space="preserve"> — it takes everything Mojo can do for one symbol and applies it to all symbols at the same time.</t>
    </r>
  </si>
  <si>
    <t>Stage 5 — TimescaleDB Stores Everything</t>
  </si>
  <si>
    <t>After Ray workers generate signals and complete backtests, all results flow into TimescaleDB for permanent storage. Every market tick received, every signal generated, every backtest result, every P&amp;L data point, and every latency measurement is written here.</t>
  </si>
  <si>
    <t>TimescaleDB handles this volume efficiently through hypertables that automatically partition data by time, compression that reduces storage by 8 times, and continuous aggregates that pre-compute OHLCV candles automatically so React can query them instantly without recalculation.</t>
  </si>
  <si>
    <r>
      <t xml:space="preserve">TimescaleDB serves as the </t>
    </r>
    <r>
      <rPr>
        <b/>
        <sz val="12"/>
        <color theme="1"/>
        <rFont val="Times New Roman"/>
        <family val="1"/>
      </rPr>
      <t>single source of truth</t>
    </r>
    <r>
      <rPr>
        <sz val="12"/>
        <color theme="1"/>
        <rFont val="Times New Roman"/>
        <family val="1"/>
      </rPr>
      <t xml:space="preserve"> for your entire platform — the place where everything is recorded and from which all historical analysis is drawn.</t>
    </r>
  </si>
  <si>
    <t>Stage 6 — Claude AI Analyzes</t>
  </si>
  <si>
    <t>Claude AI sits in the intelligence layer and is triggered by meaningful events rather than running continuously. After every backtest completes, Claude reads the results from TimescaleDB and analyzes Sharpe ratio, drawdown, win rate, and profit factor — then suggests parameter improvements and identifies which market regimes the strategy struggles in.</t>
  </si>
  <si>
    <t>When live strategy performance degrades, Claude diagnoses whether it is a market regime change, parameter decay, or a technical failure. When Jenkins build fails because of a Mojo compilation error, Claude reads the error and suggests the fix. When signal generation suddenly drops to zero, Claude investigates which component in the chain has broken.</t>
  </si>
  <si>
    <r>
      <t xml:space="preserve">Claude AI is always </t>
    </r>
    <r>
      <rPr>
        <b/>
        <sz val="12"/>
        <color theme="1"/>
        <rFont val="Times New Roman"/>
        <family val="1"/>
      </rPr>
      <t>asynchronous</t>
    </r>
    <r>
      <rPr>
        <sz val="12"/>
        <color theme="1"/>
        <rFont val="Times New Roman"/>
        <family val="1"/>
      </rPr>
      <t xml:space="preserve"> — it never sits in the critical trading path. It analyzes in the background and pushes recommendations to React when ready.</t>
    </r>
  </si>
  <si>
    <r>
      <t xml:space="preserve">Think of Claude AI as the </t>
    </r>
    <r>
      <rPr>
        <b/>
        <sz val="12"/>
        <color theme="1"/>
        <rFont val="Times New Roman"/>
        <family val="1"/>
      </rPr>
      <t>expert advisor</t>
    </r>
    <r>
      <rPr>
        <sz val="12"/>
        <color theme="1"/>
        <rFont val="Times New Roman"/>
        <family val="1"/>
      </rPr>
      <t xml:space="preserve"> of your system — always watching, always learning, always ready to explain what is happening and what to do next.</t>
    </r>
  </si>
  <si>
    <t>Stage 7 — React Displays Everything</t>
  </si>
  <si>
    <t>React is the final stage — the window through which you see everything your platform is doing. It connects to TimescaleDB for historical charts, to Redis for live signal status, to Ray for worker health, and to Claude AI for recommendations — all displayed in a single browser-based dashboard refreshing every 100 milliseconds.</t>
  </si>
  <si>
    <t>React displays live P&amp;L, active positions, signal heatmaps, tick-to-signal latency, backtest equity curves, Sharpe ratio trends, drawdown charts, system health indicators, and Claude AI recommendations — all in one place, all in real time.</t>
  </si>
  <si>
    <r>
      <t xml:space="preserve">Critically, React does </t>
    </r>
    <r>
      <rPr>
        <b/>
        <sz val="12"/>
        <color theme="1"/>
        <rFont val="Times New Roman"/>
        <family val="1"/>
      </rPr>
      <t>no computation whatsoever</t>
    </r>
    <r>
      <rPr>
        <sz val="12"/>
        <color theme="1"/>
        <rFont val="Times New Roman"/>
        <family val="1"/>
      </rPr>
      <t>. It never processes data, never stores data, never makes trading decisions. Its only job is to take what the backend provides and display it beautifully and quickly.</t>
    </r>
  </si>
  <si>
    <r>
      <t xml:space="preserve">Think of React as the </t>
    </r>
    <r>
      <rPr>
        <b/>
        <sz val="12"/>
        <color theme="1"/>
        <rFont val="Times New Roman"/>
        <family val="1"/>
      </rPr>
      <t>cockpit dashboard</t>
    </r>
    <r>
      <rPr>
        <sz val="12"/>
        <color theme="1"/>
        <rFont val="Times New Roman"/>
        <family val="1"/>
      </rPr>
      <t xml:space="preserve"> — everything you need to see to fly the plane, presented clearly and updated constantly</t>
    </r>
  </si>
  <si>
    <t>Folder location: D:\1\Project\Trading_Strategy</t>
  </si>
  <si>
    <t>JENKINS</t>
  </si>
  <si>
    <t>Jenkins Flow — Explained Step by Step</t>
  </si>
  <si>
    <t>Step 1 — You Write or Change Code</t>
  </si>
  <si>
    <t>You write a new strategy, modify a Mojo kernel, tune a parameter, or fix a bug. The moment you push that change to your code repository, Jenkins automatically wakes up and starts working.</t>
  </si>
  <si>
    <t>Jenkins is always watching your repository. No manual triggering needed. Code pushed equals pipeline started — automatically.</t>
  </si>
  <si>
    <t>Step 2 — Jenkins Builds Mojo Kernels</t>
  </si>
  <si>
    <t>The first thing Jenkins does is compile your Mojo strategy kernels into executable binary files. Mojo code cannot run until it is compiled — Jenkins handles this compilation automatically every single time code changes.</t>
  </si>
  <si>
    <t>If the Mojo code has a syntax error or compilation failure, Jenkins immediately calls Claude AI, which reads the error log, identifies the problem, and suggests the fix. Jenkins can automatically apply the fix and retry the build without you doing anything manually.</t>
  </si>
  <si>
    <r>
      <t xml:space="preserve">This is the </t>
    </r>
    <r>
      <rPr>
        <b/>
        <sz val="12"/>
        <color theme="1"/>
        <rFont val="Times New Roman"/>
        <family val="1"/>
      </rPr>
      <t>Claude AI and Jenkins integration</t>
    </r>
    <r>
      <rPr>
        <sz val="12"/>
        <color theme="1"/>
        <rFont val="Times New Roman"/>
        <family val="1"/>
      </rPr>
      <t xml:space="preserve"> — Claude AI is not just in the trading flow, it is deeply embedded in the development flow too.</t>
    </r>
  </si>
  <si>
    <t>Step 3 — Jenkins Runs Automated Tests</t>
  </si>
  <si>
    <t>After successful compilation, Jenkins runs your test suite automatically. This includes unit tests on individual Mojo kernels to verify they produce correct signals, integration tests to verify Redis caching works correctly, latency benchmark tests to confirm Mojo kernel still runs within 400 to 450 nanoseconds, and connectivity tests to confirm Kafka, Redis, TimescaleDB, and Ray are all reachable.</t>
  </si>
  <si>
    <t>If latency has regressed — meaning your code change accidentally made Mojo slower — Jenkins catches it here before it ever reaches production.</t>
  </si>
  <si>
    <t>Step 4 — Jenkins Runs a Full Backtest</t>
  </si>
  <si>
    <t>This is the most critical validation step. Jenkins submits a full backtest job to Ray using your newly compiled Mojo kernels against historical data in TimescaleDB. Ray workers execute the backtest across all symbols in parallel, results are written back to TimescaleDB, and Jenkins reads those results.</t>
  </si>
  <si>
    <t>Jenkins then checks strict thresholds. Sharpe ratio must be above your minimum. Maximum drawdown must be below your limit. Win rate must meet your floor. If any metric fails the threshold, the entire deployment is automatically rejected — your live system is never touched.</t>
  </si>
  <si>
    <t>Step 5 — Claude AI Validates the Results</t>
  </si>
  <si>
    <t>After the backtest completes, Jenkins triggers Claude AI to analyze the results deeply. Claude does not just check numbers against thresholds — it looks for subtle issues like overfitting signals, strategy degradation in specific market regimes, unusual drawdown patterns, or suspiciously high win rates that suggest a data leak in the backtest.</t>
  </si>
  <si>
    <t>This gives you a level of validation that pure numerical threshold checking cannot provide. Claude AI brings judgment, not just arithmetic.</t>
  </si>
  <si>
    <t>Step 6 — Jenkins Deploys to Production</t>
  </si>
  <si>
    <t>Only if every previous step passes — compilation, tests, latency benchmark, backtest validation, and Claude AI approval — does Jenkins deploy to production.</t>
  </si>
  <si>
    <t>Deployment means copying the newly compiled Mojo kernel binaries to the production environment, restarting the Ray workers with the new kernels, updating Kafka consumer configurations if needed, and updating Redis with any new strategy parameters.</t>
  </si>
  <si>
    <t>The live trading system — Flow 1 — is now running your new strategy.</t>
  </si>
  <si>
    <t>Step 7 — Jenkins Reports to React</t>
  </si>
  <si>
    <t>After deployment, Jenkins pushes the build status, backtest results, and deployment confirmation to TimescaleDB. React immediately displays this on your dashboard — showing you that a new strategy version was deployed, what its backtest metrics were, and whether Claude AI flagged any concerns.</t>
  </si>
  <si>
    <t>You push code</t>
  </si>
  <si>
    <t xml:space="preserve">      ↓</t>
  </si>
  <si>
    <t>Jenkins wakes up automatically</t>
  </si>
  <si>
    <t>Compile Mojo kernels</t>
  </si>
  <si>
    <t xml:space="preserve">      ↓ (fail → Claude AI fixes → retry)</t>
  </si>
  <si>
    <t>Run unit + latency tests</t>
  </si>
  <si>
    <t xml:space="preserve">      ↓ (fail → stop, alert you)</t>
  </si>
  <si>
    <t>Run full backtest via Ray</t>
  </si>
  <si>
    <t xml:space="preserve">      ↓ (uses TimescaleDB historical data)</t>
  </si>
  <si>
    <t>Validate Sharpe / Drawdown / Win Rate</t>
  </si>
  <si>
    <t>Claude AI deep analysis</t>
  </si>
  <si>
    <t xml:space="preserve">      ↓ (concern → stop, alert you)</t>
  </si>
  <si>
    <t>Deploy new Mojo kernels to production</t>
  </si>
  <si>
    <t>Update React dashboard with results</t>
  </si>
  <si>
    <t>Live trading now uses new strategy</t>
  </si>
  <si>
    <t>How Jenkins Connects to Every Component</t>
  </si>
  <si>
    <t>Component       How Jenkins Uses It</t>
  </si>
  <si>
    <t>────────────────────────────────────────────────────────</t>
  </si>
  <si>
    <t>Mojo            Compiles kernels → produces .so binaries</t>
  </si>
  <si>
    <t>Ray             Submits backtest jobs → collects results</t>
  </si>
  <si>
    <t>TimescaleDB     Reads backtest results → validates metrics</t>
  </si>
  <si>
    <t>Redis           Updates strategy parameters on deploy</t>
  </si>
  <si>
    <t>Kafka           Reconfigures consumer groups on deploy</t>
  </si>
  <si>
    <t>Claude AI       Triggered for error fixing + deep analysis</t>
  </si>
  <si>
    <t>React           Receives build status + deployment reports</t>
  </si>
  <si>
    <t>┌─────────────────────────────────────────────────────────┐</t>
  </si>
  <si>
    <t>│              SITARAM HFT PLATFORM — COMPLETE                                         │</t>
  </si>
  <si>
    <t>│                                                                                                                              │</t>
  </si>
  <si>
    <t>│  DEVELOPMENT FLOW (Jenkins)                                                                    │</t>
  </si>
  <si>
    <t>│  Code → Jenkins → Mojo Build → Tests → Backtest                                 │</t>
  </si>
  <si>
    <t>│       → Claude AI Validate → Deploy                                                               │</t>
  </si>
  <si>
    <t>│                    ↓                                                                                                      │</t>
  </si>
  <si>
    <t>│  LIVE TRADING FLOW (Data)                                                                           │</t>
  </si>
  <si>
    <t>│  Kafka → Redis → Mojo → Ray → TimescaleDB                                         │</t>
  </si>
  <si>
    <t>│       → Claude AI → React                                                                                 │</t>
  </si>
  <si>
    <t>└─────────────────────────────────────────────────────────┘</t>
  </si>
  <si>
    <t>Three levels of Validation of the strategy</t>
  </si>
  <si>
    <t>GATE 1 — Jenkins Numerical Check</t>
  </si>
  <si>
    <t>─────────────────────────────────</t>
  </si>
  <si>
    <t>Sharpe Ratio &gt; minimum threshold?</t>
  </si>
  <si>
    <t>Max Drawdown &lt; maximum limit?</t>
  </si>
  <si>
    <t>Win Rate &gt; minimum floor?</t>
  </si>
  <si>
    <t>Latency &lt; 500 nanoseconds?</t>
  </si>
  <si>
    <t>All tests passing?</t>
  </si>
  <si>
    <t>→ If any fail, STOP. Never reaches Claude.</t>
  </si>
  <si>
    <t>GATE 2 — Claude AI Deep Analysis</t>
  </si>
  <si>
    <t>No overfitting detected?</t>
  </si>
  <si>
    <t>Consistent across market regimes?</t>
  </si>
  <si>
    <t>No look-ahead bias?</t>
  </si>
  <si>
    <t>Risk profile acceptable?</t>
  </si>
  <si>
    <t>Strategy logic sound?</t>
  </si>
  <si>
    <t>→ If any concern, STOP. Jenkins does not deploy.</t>
  </si>
  <si>
    <t>GATE 3 — Jenkins Final Deployment</t>
  </si>
  <si>
    <t>Both gates passed?</t>
  </si>
  <si>
    <r>
      <t xml:space="preserve">→ Deploy to live trading system </t>
    </r>
    <r>
      <rPr>
        <sz val="12"/>
        <color theme="1"/>
        <rFont val="Segoe UI Symbol"/>
        <family val="2"/>
      </rPr>
      <t>✅</t>
    </r>
  </si>
  <si>
    <t>Paper Trading First — Always</t>
  </si>
  <si>
    <t>Strategy Idea</t>
  </si>
  <si>
    <t>Backtest (historical data)</t>
  </si>
  <si>
    <t>Claude AI validates</t>
  </si>
  <si>
    <t>Jenkins deploys</t>
  </si>
  <si>
    <t>PAPER TRADING LIVE ← You are here first</t>
  </si>
  <si>
    <t>Proven consistent? → REAL CAPITAL</t>
  </si>
  <si>
    <t>Three Stages of Validation — The Right Way</t>
  </si>
  <si>
    <t>Stage 1 — Backtest</t>
  </si>
  <si>
    <t>Historical data from TimescaleDB is used. You already know the answer — you are checking if the strategy would have worked in the past. This catches obviously broken strategies but cannot guarantee future performance.</t>
  </si>
  <si>
    <t>Stage 2 — Paper Trading Live</t>
  </si>
  <si>
    <t>Real market data flowing through Kafka right now. Real signals generated by Mojo right now. Simulated order fills based on real prices. This is far more honest than backtesting because you cannot accidentally look ahead at future data. Market microstructure, slippage, and timing are all real.</t>
  </si>
  <si>
    <t>This is where you discover things backtest never shows — like signals arriving a fraction too late, or the market moving before your simulated order fills, or a strategy that worked historically but has stopped working in current market conditions.</t>
  </si>
  <si>
    <t>Stage 3 — Live Capital</t>
  </si>
  <si>
    <t>Only after the strategy has proven itself consistently in paper trading over a meaningful period — weeks or months — does real capital get deployed. And even then, you start small.</t>
  </si>
  <si>
    <t>┌──────────────────────────────────────────────────────┐</t>
  </si>
  <si>
    <t>│           COMPLETE STRATEGY LIFECYCLE                │</t>
  </si>
  <si>
    <t>│                                                                                     │</t>
  </si>
  <si>
    <t>│  STAGE 1 — RESEARCH                                            │</t>
  </si>
  <si>
    <t>│  You write strategy logic                                         │</t>
  </si>
  <si>
    <t>│  Jenkins builds Mojo kernels                                   │</t>
  </si>
  <si>
    <t>│                                                                                      │</t>
  </si>
  <si>
    <t>│  STAGE 2 — BACKTEST                                            │</t>
  </si>
  <si>
    <t>│  Ray runs parallel backtest                                   │</t>
  </si>
  <si>
    <t>│  TimescaleDB provides historical data                │</t>
  </si>
  <si>
    <t>│  Claude AI validates results                                  │</t>
  </si>
  <si>
    <t>│  React shows performance metrics                     │</t>
  </si>
  <si>
    <t>│                                                                                   │</t>
  </si>
  <si>
    <t>│  STAGE 3 — PAPER TRADING ← Smartest gate            │</t>
  </si>
  <si>
    <t>│  Kafka feeds real market data                             │</t>
  </si>
  <si>
    <t>│  Mojo generates real signals                               │</t>
  </si>
  <si>
    <t>│  Simulated order fills at real prices                    │</t>
  </si>
  <si>
    <t>│  Claude AI compares vs backtest expectations         │</t>
  </si>
  <si>
    <t>│  React shows live paper P&amp;L                                │</t>
  </si>
  <si>
    <t>│  Run for weeks or months                                    │</t>
  </si>
  <si>
    <t>│                                                      │</t>
  </si>
  <si>
    <t>│  STAGE 4 — REAL CAPITAL (only when ready)            │</t>
  </si>
  <si>
    <t>│  Claude AI confirms paper matches backtest             │</t>
  </si>
  <si>
    <t>│  Jenkins deploys to real broker connection               │</t>
  </si>
  <si>
    <t>│  Start with minimum capital                                         │</t>
  </si>
  <si>
    <t>│  Scale up gradually as confidence grows                    │</t>
  </si>
  <si>
    <t>└──────────────────────────────────────────────────────┘</t>
  </si>
  <si>
    <t>Component          Docker Image Available?</t>
  </si>
  <si>
    <t>──────────────────────────────────────────────</t>
  </si>
  <si>
    <r>
      <t xml:space="preserve">Kafka              </t>
    </r>
    <r>
      <rPr>
        <sz val="12"/>
        <color theme="1"/>
        <rFont val="Segoe UI Symbol"/>
        <family val="2"/>
      </rPr>
      <t>✅</t>
    </r>
    <r>
      <rPr>
        <sz val="12"/>
        <color theme="1"/>
        <rFont val="Calibri"/>
        <family val="2"/>
        <scheme val="minor"/>
      </rPr>
      <t xml:space="preserve"> Official image exists</t>
    </r>
  </si>
  <si>
    <r>
      <t xml:space="preserve">Redis              </t>
    </r>
    <r>
      <rPr>
        <sz val="12"/>
        <color theme="1"/>
        <rFont val="Segoe UI Symbol"/>
        <family val="2"/>
      </rPr>
      <t>✅</t>
    </r>
    <r>
      <rPr>
        <sz val="12"/>
        <color theme="1"/>
        <rFont val="Calibri"/>
        <family val="2"/>
        <scheme val="minor"/>
      </rPr>
      <t xml:space="preserve"> Official image exists</t>
    </r>
  </si>
  <si>
    <r>
      <t xml:space="preserve">TimescaleDB        </t>
    </r>
    <r>
      <rPr>
        <sz val="12"/>
        <color theme="1"/>
        <rFont val="Segoe UI Symbol"/>
        <family val="2"/>
      </rPr>
      <t>✅</t>
    </r>
    <r>
      <rPr>
        <sz val="12"/>
        <color theme="1"/>
        <rFont val="Calibri"/>
        <family val="2"/>
        <scheme val="minor"/>
      </rPr>
      <t xml:space="preserve"> Official image exists</t>
    </r>
  </si>
  <si>
    <r>
      <t xml:space="preserve">Ray                </t>
    </r>
    <r>
      <rPr>
        <sz val="12"/>
        <color theme="1"/>
        <rFont val="Segoe UI Symbol"/>
        <family val="2"/>
      </rPr>
      <t>✅</t>
    </r>
    <r>
      <rPr>
        <sz val="12"/>
        <color theme="1"/>
        <rFont val="Calibri"/>
        <family val="2"/>
        <scheme val="minor"/>
      </rPr>
      <t xml:space="preserve"> Official image exists</t>
    </r>
  </si>
  <si>
    <r>
      <t xml:space="preserve">React              </t>
    </r>
    <r>
      <rPr>
        <sz val="12"/>
        <color theme="1"/>
        <rFont val="Segoe UI Symbol"/>
        <family val="2"/>
      </rPr>
      <t>✅</t>
    </r>
    <r>
      <rPr>
        <sz val="12"/>
        <color theme="1"/>
        <rFont val="Calibri"/>
        <family val="2"/>
        <scheme val="minor"/>
      </rPr>
      <t xml:space="preserve"> Build into Nginx container</t>
    </r>
  </si>
  <si>
    <r>
      <t xml:space="preserve">Jenkins            </t>
    </r>
    <r>
      <rPr>
        <sz val="12"/>
        <color theme="1"/>
        <rFont val="Segoe UI Symbol"/>
        <family val="2"/>
      </rPr>
      <t>✅</t>
    </r>
    <r>
      <rPr>
        <sz val="12"/>
        <color theme="1"/>
        <rFont val="Calibri"/>
        <family val="2"/>
        <scheme val="minor"/>
      </rPr>
      <t xml:space="preserve"> Official image exists</t>
    </r>
  </si>
  <si>
    <r>
      <t xml:space="preserve">Mojo               </t>
    </r>
    <r>
      <rPr>
        <sz val="12"/>
        <color theme="1"/>
        <rFont val="Segoe UI Symbol"/>
        <family val="2"/>
      </rPr>
      <t>⚠</t>
    </r>
    <r>
      <rPr>
        <sz val="12"/>
        <color theme="1"/>
        <rFont val="Calibri"/>
        <family val="2"/>
        <scheme val="minor"/>
      </rPr>
      <t>️ Custom image needed</t>
    </r>
  </si>
  <si>
    <r>
      <t xml:space="preserve">Claude AI          </t>
    </r>
    <r>
      <rPr>
        <sz val="12"/>
        <color theme="1"/>
        <rFont val="Segoe UI Symbol"/>
        <family val="2"/>
      </rPr>
      <t>✅</t>
    </r>
    <r>
      <rPr>
        <sz val="12"/>
        <color theme="1"/>
        <rFont val="Calibri"/>
        <family val="2"/>
        <scheme val="minor"/>
      </rPr>
      <t xml:space="preserve"> Just an API call, no container needed</t>
    </r>
  </si>
  <si>
    <t>Your entire stack = One command to launch</t>
  </si>
  <si>
    <t>docker-compose up -d</t>
  </si>
  <si>
    <t>That's it. Everything starts automatically.</t>
  </si>
  <si>
    <t>┌─────────────────────────────────────────────────────┐</t>
  </si>
  <si>
    <t>│           DOCKER SHIPPED HFT PLATFORM                             │</t>
  </si>
  <si>
    <t>│                                                                                                     │</t>
  </si>
  <si>
    <t>│  One docker-compose.yml file contains:                            │</t>
  </si>
  <si>
    <t>│  ┌─────────┐  ┌─────────┐  ┌─────────────────┐    │</t>
  </si>
  <si>
    <t>│  │  Kafka  │  │  Redis  │  │  TimescaleDB    │                        │</t>
  </si>
  <si>
    <t>│  │Container│  │Container│  │  Container      │                   │</t>
  </si>
  <si>
    <t>│  └─────────┘  └─────────┘  └─────────────────┘    │</t>
  </si>
  <si>
    <t>│  │   Ray   │  │  Mojo   │  │     React       │                               │</t>
  </si>
  <si>
    <t>│  ┌─────────┐                                                                           │</t>
  </si>
  <si>
    <t>│  │ Jenkins │                                                                               │</t>
  </si>
  <si>
    <t>│  │Container│                                                                            │</t>
  </si>
  <si>
    <t>│  └─────────┘                                                                          │</t>
  </si>
  <si>
    <t>│                                                                                             │</t>
  </si>
  <si>
    <t>│  Claude AI → No container needed (API call only)   │</t>
  </si>
  <si>
    <t>│  Launch everything:  docker-compose up -d             │</t>
  </si>
  <si>
    <t>│  Stop everything:    docker-compose down               │</t>
  </si>
  <si>
    <t>│  View logs:          docker-compose logs                       │</t>
  </si>
  <si>
    <t>│  Restart one:        docker-compose restart kafka      │</t>
  </si>
  <si>
    <t>└─────────────────────────────────────────────────────┘</t>
  </si>
  <si>
    <t>Three Outcomes</t>
  </si>
  <si>
    <r>
      <t xml:space="preserve">OUTCOME 1 — Strategy Passes </t>
    </r>
    <r>
      <rPr>
        <sz val="18"/>
        <color theme="1"/>
        <rFont val="Segoe UI Symbol"/>
        <family val="2"/>
      </rPr>
      <t>✅</t>
    </r>
  </si>
  <si>
    <t>────────────────────────────────────────</t>
  </si>
  <si>
    <t>Claude AI approves</t>
  </si>
  <si>
    <t>Jenkins deploys to paper trading</t>
  </si>
  <si>
    <t>React shows green status</t>
  </si>
  <si>
    <t>You see recommendation to proceed</t>
  </si>
  <si>
    <t>No human needed</t>
  </si>
  <si>
    <r>
      <t xml:space="preserve">OUTCOME 2 — Strategy Fails </t>
    </r>
    <r>
      <rPr>
        <sz val="18"/>
        <color theme="1"/>
        <rFont val="Segoe UI Symbol"/>
        <family val="2"/>
      </rPr>
      <t>❌</t>
    </r>
  </si>
  <si>
    <t>Claude AI identifies specific problems</t>
  </si>
  <si>
    <t>Jenkins rejects deployment</t>
  </si>
  <si>
    <t>React shows exactly why it failed</t>
  </si>
  <si>
    <t>Sharpe too low? Drawdown too high?</t>
  </si>
  <si>
    <t>Overfitting detected?</t>
  </si>
  <si>
    <t>You see precise diagnosis</t>
  </si>
  <si>
    <r>
      <t xml:space="preserve">OUTCOME 3 — Strategy Needs Improvement </t>
    </r>
    <r>
      <rPr>
        <sz val="18"/>
        <color theme="1"/>
        <rFont val="Segoe UI Symbol"/>
        <family val="2"/>
      </rPr>
      <t>⚠</t>
    </r>
    <r>
      <rPr>
        <sz val="18"/>
        <color theme="1"/>
        <rFont val="Calibri"/>
        <family val="2"/>
        <scheme val="minor"/>
      </rPr>
      <t>️</t>
    </r>
  </si>
  <si>
    <t>Claude AI identifies weak areas</t>
  </si>
  <si>
    <t>Suggests specific parameter changes</t>
  </si>
  <si>
    <t>Suggests which market regimes to avoid</t>
  </si>
  <si>
    <t>React shows detailed recommendations</t>
  </si>
  <si>
    <t>You choose whether to act on them</t>
  </si>
  <si>
    <t>Minimal human involvement</t>
  </si>
  <si>
    <r>
      <t xml:space="preserve">What are the strategies available in </t>
    </r>
    <r>
      <rPr>
        <b/>
        <sz val="18"/>
        <color theme="1"/>
        <rFont val="Times New Roman"/>
        <family val="1"/>
      </rPr>
      <t>Market making</t>
    </r>
    <r>
      <rPr>
        <sz val="18"/>
        <color theme="1"/>
        <rFont val="Times New Roman"/>
        <family val="1"/>
      </rPr>
      <t xml:space="preserve"> for </t>
    </r>
    <r>
      <rPr>
        <b/>
        <sz val="18"/>
        <color theme="1"/>
        <rFont val="Times New Roman"/>
        <family val="1"/>
      </rPr>
      <t>HFT</t>
    </r>
    <r>
      <rPr>
        <sz val="18"/>
        <color theme="1"/>
        <rFont val="Times New Roman"/>
        <family val="1"/>
      </rPr>
      <t>??</t>
    </r>
  </si>
  <si>
    <r>
      <t xml:space="preserve">Market making strategies involve continuously quoting </t>
    </r>
    <r>
      <rPr>
        <b/>
        <sz val="12"/>
        <color theme="1"/>
        <rFont val="Times New Roman"/>
        <family val="1"/>
      </rPr>
      <t>buy (bid)</t>
    </r>
    <r>
      <rPr>
        <sz val="12"/>
        <color theme="1"/>
        <rFont val="Times New Roman"/>
        <family val="1"/>
      </rPr>
      <t xml:space="preserve"> and </t>
    </r>
    <r>
      <rPr>
        <b/>
        <sz val="12"/>
        <color theme="1"/>
        <rFont val="Times New Roman"/>
        <family val="1"/>
      </rPr>
      <t>sell (ask)</t>
    </r>
    <r>
      <rPr>
        <sz val="12"/>
        <color theme="1"/>
        <rFont val="Times New Roman"/>
        <family val="1"/>
      </rPr>
      <t xml:space="preserve"> prices for an asset (like BTC/USDT on a CEX) to provide liquidity, while capturing the </t>
    </r>
    <r>
      <rPr>
        <b/>
        <sz val="12"/>
        <color theme="1"/>
        <rFont val="Times New Roman"/>
        <family val="1"/>
      </rPr>
      <t>bid-ask spread</t>
    </r>
    <r>
      <rPr>
        <sz val="12"/>
        <color theme="1"/>
        <rFont val="Times New Roman"/>
        <family val="1"/>
      </rPr>
      <t xml:space="preserve"> as profit. In high-frequency trading (HFT) and especially crypto, these strategies are algorithmic, ultra-fast, and must handle risks like inventory accumulation, adverse selection (getting picked off by informed traders), volatility spikes, and exchange-specific features (maker rebates, latency, funding rates on perps).</t>
    </r>
  </si>
  <si>
    <t>Here are the main categories and specific strategies commonly used in practice (particularly relevant for crypto/HFT environments):</t>
  </si>
  <si>
    <t>1. Classic / Academic-Inspired Models</t>
  </si>
  <si>
    <t>These form the foundation for most modern implementations.</t>
  </si>
  <si>
    <r>
      <t>Avellaneda-Stoikov (AS) Model (2008)</t>
    </r>
    <r>
      <rPr>
        <sz val="12"/>
        <color theme="1"/>
        <rFont val="Times New Roman"/>
        <family val="1"/>
      </rPr>
      <t xml:space="preserve"> The most widely referenced and implemented model in HFT/crypto market making. Treats quoting as a stochastic control problem: maximize expected utility while penalizing inventory risk (via risk aversion parameter γ). Key features:</t>
    </r>
  </si>
  <si>
    <r>
      <t>Reservation price</t>
    </r>
    <r>
      <rPr>
        <sz val="12"/>
        <color theme="1"/>
        <rFont val="Times New Roman"/>
        <family val="1"/>
      </rPr>
      <t xml:space="preserve"> — skews quotes away from mid-price based on current inventory (long → lower quotes to encourage selling; short → higher quotes).</t>
    </r>
  </si>
  <si>
    <r>
      <t>Optimal spread</t>
    </r>
    <r>
      <rPr>
        <sz val="12"/>
        <color theme="1"/>
        <rFont val="Times New Roman"/>
        <family val="1"/>
      </rPr>
      <t xml:space="preserve"> — widens with volatility (σ) and time horizon; narrows when low risk.</t>
    </r>
  </si>
  <si>
    <t>Execution probability modeled as exponential decay (λ(δ) = A e^{-kδ}). Widely used on crypto perps/spot; many variants add order book imbalance, jump-diffusion for crypto jumps, or rebates. Variants: Enhanced with reinforcement learning (RL) for dynamic parameter tuning, order flow prediction, or multi-objective optimization (profit + inventory control).</t>
  </si>
  <si>
    <r>
      <t>Ho-Stoll Model</t>
    </r>
    <r>
      <rPr>
        <sz val="12"/>
        <color theme="1"/>
        <rFont val="Times New Roman"/>
        <family val="1"/>
      </rPr>
      <t xml:space="preserve"> (earlier inventory-based) Predecessor to AS; focuses on inventory risk but simpler (less used in pure HFT today).</t>
    </r>
  </si>
  <si>
    <t>2. Inventory Management-Focused Variants</t>
  </si>
  <si>
    <t>These build directly on AS or similar to handle crypto's high volatility and 24/7 trading.</t>
  </si>
  <si>
    <r>
      <t>Symmetric quoting around mid-price</t>
    </r>
    <r>
      <rPr>
        <sz val="12"/>
        <color theme="1"/>
        <rFont val="Times New Roman"/>
        <family val="1"/>
      </rPr>
      <t xml:space="preserve"> (naive baseline) Bid and ask equally spaced from current mid → easy but suffers heavy adverse selection and inventory blowups in trends.</t>
    </r>
  </si>
  <si>
    <r>
      <t>Asymmetric / Skewed Quoting</t>
    </r>
    <r>
      <rPr>
        <sz val="12"/>
        <color theme="1"/>
        <rFont val="Times New Roman"/>
        <family val="1"/>
      </rPr>
      <t xml:space="preserve"> Dynamically shift bid/ask around reservation price (core of AS). Aggressive skew in high volatility or when inventory is lopsided.</t>
    </r>
  </si>
  <si>
    <r>
      <t>Inventory Threshold / Hard Limits</t>
    </r>
    <r>
      <rPr>
        <sz val="12"/>
        <color theme="1"/>
        <rFont val="Times New Roman"/>
        <family val="1"/>
      </rPr>
      <t xml:space="preserve"> Cap max long/short position (e.g., ±5–20 units) → hedge or widen spread aggressively when approaching limit.</t>
    </r>
  </si>
  <si>
    <t>3. Order Book &amp; Microstructure-Aware Strategies</t>
  </si>
  <si>
    <t>These use real-time L2 data (like your Bybit ob200 snapshots) for better edge.</t>
  </si>
  <si>
    <r>
      <t>Order Book Imbalance + AS</t>
    </r>
    <r>
      <rPr>
        <sz val="12"/>
        <color theme="1"/>
        <rFont val="Times New Roman"/>
        <family val="1"/>
      </rPr>
      <t xml:space="preserve"> Skew quotes based on bid/ask depth imbalance (e.g., heavy bids → expect up-move → raise reservation price).</t>
    </r>
  </si>
  <si>
    <r>
      <t>Queue Position / Top-of-Book Competition</t>
    </r>
    <r>
      <rPr>
        <sz val="12"/>
        <color theme="1"/>
        <rFont val="Times New Roman"/>
        <family val="1"/>
      </rPr>
      <t xml:space="preserve"> Place orders to stay near top of book; cancel/repost instantly if undercut (flickering quotes).</t>
    </r>
  </si>
  <si>
    <r>
      <t>Liquidity Sweeping / Passive-Aggressive Hybrid</t>
    </r>
    <r>
      <rPr>
        <sz val="12"/>
        <color theme="1"/>
        <rFont val="Times New Roman"/>
        <family val="1"/>
      </rPr>
      <t xml:space="preserve"> Mostly passive maker, but occasionally take liquidity to unwind inventory or chase momentum.</t>
    </r>
  </si>
  <si>
    <t>4. Cross-Venue &amp; Arbitrage-Enhanced Market Making</t>
  </si>
  <si>
    <t>Very common in fragmented crypto markets.</t>
  </si>
  <si>
    <r>
      <t>Cross-Exchange Market Making</t>
    </r>
    <r>
      <rPr>
        <sz val="12"/>
        <color theme="1"/>
        <rFont val="Times New Roman"/>
        <family val="1"/>
      </rPr>
      <t xml:space="preserve"> Quote on one venue informed by faster updates on another (latency arbitrage between exchanges).</t>
    </r>
  </si>
  <si>
    <r>
      <t>Statistical Arbitrage + MM</t>
    </r>
    <r>
      <rPr>
        <sz val="12"/>
        <color theme="1"/>
        <rFont val="Times New Roman"/>
        <family val="1"/>
      </rPr>
      <t xml:space="preserve"> Combine market making with mean-reversion pairs (e.g., BTC spot vs. perp basis) or cross-asset arb.</t>
    </r>
  </si>
  <si>
    <t>5. Advanced / ML-Driven Approaches</t>
  </si>
  <si>
    <t>Modern enhancements for competitive crypto HFT.</t>
  </si>
  <si>
    <r>
      <t>Reinforcement Learning (RL) Market Making</t>
    </r>
    <r>
      <rPr>
        <sz val="12"/>
        <color theme="1"/>
        <rFont val="Times New Roman"/>
        <family val="1"/>
      </rPr>
      <t xml:space="preserve"> Agent learns optimal quoting policy (e.g., multi-objective RL for profit + low drawdown + inventory stability). Often outperforms static AS in changing regimes.</t>
    </r>
  </si>
  <si>
    <r>
      <t>Order Flow Prediction / Momentum Integration</t>
    </r>
    <r>
      <rPr>
        <sz val="12"/>
        <color theme="1"/>
        <rFont val="Times New Roman"/>
        <family val="1"/>
      </rPr>
      <t xml:space="preserve"> Predict short-term aggressor flow → adjust quotes preemptively.</t>
    </r>
  </si>
  <si>
    <r>
      <t>Adverse Selection Mitigation</t>
    </r>
    <r>
      <rPr>
        <sz val="12"/>
        <color theme="1"/>
        <rFont val="Times New Roman"/>
        <family val="1"/>
      </rPr>
      <t xml:space="preserve"> Widen spreads or pause quoting during detected toxic flow (e.g., large informed orders).</t>
    </r>
  </si>
  <si>
    <r>
      <t xml:space="preserve">For </t>
    </r>
    <r>
      <rPr>
        <b/>
        <sz val="12"/>
        <color theme="1"/>
        <rFont val="Times New Roman"/>
        <family val="1"/>
      </rPr>
      <t>HFT market making using order book data (Level 2 / Level 3)</t>
    </r>
    <r>
      <rPr>
        <sz val="12"/>
        <color theme="1"/>
        <rFont val="Times New Roman"/>
        <family val="1"/>
      </rPr>
      <t>, backtesting is very different from normal OHLC strategies.</t>
    </r>
  </si>
  <si>
    <t>You are dealing with:</t>
  </si>
  <si>
    <r>
      <t>·</t>
    </r>
    <r>
      <rPr>
        <sz val="7"/>
        <color theme="1"/>
        <rFont val="Times New Roman"/>
        <family val="1"/>
      </rPr>
      <t xml:space="preserve">         </t>
    </r>
    <r>
      <rPr>
        <sz val="12"/>
        <color theme="1"/>
        <rFont val="Times New Roman"/>
        <family val="1"/>
      </rPr>
      <t>Bid / Ask prices</t>
    </r>
  </si>
  <si>
    <r>
      <t>·</t>
    </r>
    <r>
      <rPr>
        <sz val="7"/>
        <color theme="1"/>
        <rFont val="Times New Roman"/>
        <family val="1"/>
      </rPr>
      <t xml:space="preserve">         </t>
    </r>
    <r>
      <rPr>
        <sz val="12"/>
        <color theme="1"/>
        <rFont val="Times New Roman"/>
        <family val="1"/>
      </rPr>
      <t>Bid / Ask quantities</t>
    </r>
  </si>
  <si>
    <r>
      <t>·</t>
    </r>
    <r>
      <rPr>
        <sz val="7"/>
        <color theme="1"/>
        <rFont val="Times New Roman"/>
        <family val="1"/>
      </rPr>
      <t xml:space="preserve">         </t>
    </r>
    <r>
      <rPr>
        <sz val="12"/>
        <color theme="1"/>
        <rFont val="Times New Roman"/>
        <family val="1"/>
      </rPr>
      <t>Order book imbalance</t>
    </r>
  </si>
  <si>
    <r>
      <t>·</t>
    </r>
    <r>
      <rPr>
        <sz val="7"/>
        <color theme="1"/>
        <rFont val="Times New Roman"/>
        <family val="1"/>
      </rPr>
      <t xml:space="preserve">         </t>
    </r>
    <r>
      <rPr>
        <sz val="12"/>
        <color theme="1"/>
        <rFont val="Times New Roman"/>
        <family val="1"/>
      </rPr>
      <t>Queue position</t>
    </r>
  </si>
  <si>
    <r>
      <t>·</t>
    </r>
    <r>
      <rPr>
        <sz val="7"/>
        <color theme="1"/>
        <rFont val="Times New Roman"/>
        <family val="1"/>
      </rPr>
      <t xml:space="preserve">         </t>
    </r>
    <r>
      <rPr>
        <sz val="12"/>
        <color theme="1"/>
        <rFont val="Times New Roman"/>
        <family val="1"/>
      </rPr>
      <t>Microstructure dynamics</t>
    </r>
  </si>
  <si>
    <r>
      <t>·</t>
    </r>
    <r>
      <rPr>
        <sz val="7"/>
        <color theme="1"/>
        <rFont val="Times New Roman"/>
        <family val="1"/>
      </rPr>
      <t xml:space="preserve">         </t>
    </r>
    <r>
      <rPr>
        <sz val="12"/>
        <color theme="1"/>
        <rFont val="Times New Roman"/>
        <family val="1"/>
      </rPr>
      <t>Latency assumptions</t>
    </r>
  </si>
  <si>
    <t>Core Market Making Strategy Categories (Order Book Based)</t>
  </si>
  <si>
    <r>
      <t>1️</t>
    </r>
    <r>
      <rPr>
        <b/>
        <sz val="18"/>
        <color theme="1"/>
        <rFont val="Tahoma"/>
        <family val="2"/>
      </rPr>
      <t>⃣</t>
    </r>
    <r>
      <rPr>
        <b/>
        <sz val="18"/>
        <color theme="1"/>
        <rFont val="Times New Roman"/>
        <family val="1"/>
      </rPr>
      <t xml:space="preserve">    Basic Spread Capture Strategy</t>
    </r>
  </si>
  <si>
    <t>Idea:</t>
  </si>
  <si>
    <t>Place:</t>
  </si>
  <si>
    <r>
      <t>·</t>
    </r>
    <r>
      <rPr>
        <sz val="7"/>
        <color theme="1"/>
        <rFont val="Times New Roman"/>
        <family val="1"/>
      </rPr>
      <t xml:space="preserve">         </t>
    </r>
    <r>
      <rPr>
        <sz val="12"/>
        <color theme="1"/>
        <rFont val="Times New Roman"/>
        <family val="1"/>
      </rPr>
      <t>Buy at Best Bid</t>
    </r>
  </si>
  <si>
    <r>
      <t>·</t>
    </r>
    <r>
      <rPr>
        <sz val="7"/>
        <color theme="1"/>
        <rFont val="Times New Roman"/>
        <family val="1"/>
      </rPr>
      <t xml:space="preserve">         </t>
    </r>
    <r>
      <rPr>
        <sz val="12"/>
        <color theme="1"/>
        <rFont val="Times New Roman"/>
        <family val="1"/>
      </rPr>
      <t>Sell at Best Ask</t>
    </r>
  </si>
  <si>
    <t>Profit = Spread – Fees – Adverse Selection</t>
  </si>
  <si>
    <t>Backtesting Focus:</t>
  </si>
  <si>
    <r>
      <t>·</t>
    </r>
    <r>
      <rPr>
        <sz val="7"/>
        <color theme="1"/>
        <rFont val="Times New Roman"/>
        <family val="1"/>
      </rPr>
      <t xml:space="preserve">         </t>
    </r>
    <r>
      <rPr>
        <sz val="12"/>
        <color theme="1"/>
        <rFont val="Times New Roman"/>
        <family val="1"/>
      </rPr>
      <t>Fill probability</t>
    </r>
  </si>
  <si>
    <r>
      <t>·</t>
    </r>
    <r>
      <rPr>
        <sz val="7"/>
        <color theme="1"/>
        <rFont val="Times New Roman"/>
        <family val="1"/>
      </rPr>
      <t xml:space="preserve">         </t>
    </r>
    <r>
      <rPr>
        <sz val="12"/>
        <color theme="1"/>
        <rFont val="Times New Roman"/>
        <family val="1"/>
      </rPr>
      <t>Order cancellation rate</t>
    </r>
  </si>
  <si>
    <r>
      <t>·</t>
    </r>
    <r>
      <rPr>
        <sz val="7"/>
        <color theme="1"/>
        <rFont val="Times New Roman"/>
        <family val="1"/>
      </rPr>
      <t xml:space="preserve">         </t>
    </r>
    <r>
      <rPr>
        <sz val="12"/>
        <color theme="1"/>
        <rFont val="Times New Roman"/>
        <family val="1"/>
      </rPr>
      <t>Inventory risk</t>
    </r>
  </si>
  <si>
    <r>
      <t>·</t>
    </r>
    <r>
      <rPr>
        <sz val="7"/>
        <color theme="1"/>
        <rFont val="Times New Roman"/>
        <family val="1"/>
      </rPr>
      <t xml:space="preserve">         </t>
    </r>
    <r>
      <rPr>
        <sz val="12"/>
        <color theme="1"/>
        <rFont val="Times New Roman"/>
        <family val="1"/>
      </rPr>
      <t>Fee structure (e.g., Binance maker rebate)</t>
    </r>
  </si>
  <si>
    <t>This is the simplest market making model.</t>
  </si>
  <si>
    <r>
      <t>2️</t>
    </r>
    <r>
      <rPr>
        <b/>
        <sz val="18"/>
        <color theme="1"/>
        <rFont val="Tahoma"/>
        <family val="2"/>
      </rPr>
      <t>⃣</t>
    </r>
    <r>
      <rPr>
        <b/>
        <sz val="18"/>
        <color theme="1"/>
        <rFont val="Times New Roman"/>
        <family val="1"/>
      </rPr>
      <t xml:space="preserve">    Order Book Imbalance Strategy (OBI)</t>
    </r>
  </si>
  <si>
    <t>Formula:</t>
  </si>
  <si>
    <t>OBI=BidVolume−AskVolumeBidVolume+AskVolumeOBI = \frac{BidVolume - AskVolume}{BidVolume + AskVolume}OBI=BidVolume+AskVolumeBidVolume−AskVolume​</t>
  </si>
  <si>
    <r>
      <t>·</t>
    </r>
    <r>
      <rPr>
        <sz val="7"/>
        <color theme="1"/>
        <rFont val="Times New Roman"/>
        <family val="1"/>
      </rPr>
      <t xml:space="preserve">         </t>
    </r>
    <r>
      <rPr>
        <sz val="12"/>
        <color theme="1"/>
        <rFont val="Times New Roman"/>
        <family val="1"/>
      </rPr>
      <t>If imbalance is strongly positive → price likely moves up</t>
    </r>
  </si>
  <si>
    <r>
      <t>·</t>
    </r>
    <r>
      <rPr>
        <sz val="7"/>
        <color theme="1"/>
        <rFont val="Times New Roman"/>
        <family val="1"/>
      </rPr>
      <t xml:space="preserve">         </t>
    </r>
    <r>
      <rPr>
        <sz val="12"/>
        <color theme="1"/>
        <rFont val="Times New Roman"/>
        <family val="1"/>
      </rPr>
      <t>Shift your quotes upward</t>
    </r>
  </si>
  <si>
    <r>
      <t>·</t>
    </r>
    <r>
      <rPr>
        <sz val="7"/>
        <color theme="1"/>
        <rFont val="Times New Roman"/>
        <family val="1"/>
      </rPr>
      <t xml:space="preserve">         </t>
    </r>
    <r>
      <rPr>
        <sz val="12"/>
        <color theme="1"/>
        <rFont val="Times New Roman"/>
        <family val="1"/>
      </rPr>
      <t>Reduce exposure on weak side</t>
    </r>
  </si>
  <si>
    <t>Backtesting Needs:</t>
  </si>
  <si>
    <r>
      <t>·</t>
    </r>
    <r>
      <rPr>
        <sz val="7"/>
        <color theme="1"/>
        <rFont val="Times New Roman"/>
        <family val="1"/>
      </rPr>
      <t xml:space="preserve">         </t>
    </r>
    <r>
      <rPr>
        <sz val="12"/>
        <color theme="1"/>
        <rFont val="Times New Roman"/>
        <family val="1"/>
      </rPr>
      <t>Full depth data (at least 5–10 levels)</t>
    </r>
  </si>
  <si>
    <r>
      <t>·</t>
    </r>
    <r>
      <rPr>
        <sz val="7"/>
        <color theme="1"/>
        <rFont val="Times New Roman"/>
        <family val="1"/>
      </rPr>
      <t xml:space="preserve">         </t>
    </r>
    <r>
      <rPr>
        <sz val="12"/>
        <color theme="1"/>
        <rFont val="Times New Roman"/>
        <family val="1"/>
      </rPr>
      <t>Millisecond timestamps</t>
    </r>
  </si>
  <si>
    <r>
      <t>·</t>
    </r>
    <r>
      <rPr>
        <sz val="7"/>
        <color theme="1"/>
        <rFont val="Times New Roman"/>
        <family val="1"/>
      </rPr>
      <t xml:space="preserve">         </t>
    </r>
    <r>
      <rPr>
        <sz val="12"/>
        <color theme="1"/>
        <rFont val="Times New Roman"/>
        <family val="1"/>
      </rPr>
      <t>Event-driven simulation</t>
    </r>
  </si>
  <si>
    <t>This is very powerful in crypto markets.</t>
  </si>
  <si>
    <r>
      <t>3️</t>
    </r>
    <r>
      <rPr>
        <b/>
        <sz val="18"/>
        <color theme="1"/>
        <rFont val="Tahoma"/>
        <family val="2"/>
      </rPr>
      <t>⃣</t>
    </r>
    <r>
      <rPr>
        <b/>
        <sz val="18"/>
        <color theme="1"/>
        <rFont val="Times New Roman"/>
        <family val="1"/>
      </rPr>
      <t xml:space="preserve">    Microprice-Based Strategy</t>
    </r>
  </si>
  <si>
    <t>Microprice:</t>
  </si>
  <si>
    <t>Microprice=(AskPrice×BidVolume)+(BidPrice×AskVolume)BidVolume+AskVolumeMicroprice = \frac{(AskPrice \times BidVolume) + (BidPrice \times AskVolume)}{BidVolume + AskVolume}Microprice=BidVolume+AskVolume(AskPrice×BidVolume)+(BidPrice×AskVolume)​</t>
  </si>
  <si>
    <t>If microprice &gt; mid price → upward pressure</t>
  </si>
  <si>
    <t>Adjust quotes dynamically.</t>
  </si>
  <si>
    <t>This is a professional HFT technique.</t>
  </si>
  <si>
    <r>
      <t>4️</t>
    </r>
    <r>
      <rPr>
        <b/>
        <sz val="18"/>
        <color theme="1"/>
        <rFont val="Tahoma"/>
        <family val="2"/>
      </rPr>
      <t>⃣</t>
    </r>
    <r>
      <rPr>
        <b/>
        <sz val="18"/>
        <color theme="1"/>
        <rFont val="Times New Roman"/>
        <family val="1"/>
      </rPr>
      <t xml:space="preserve">    Inventory-Based Market Making (Avellaneda–Stoikov Model)</t>
    </r>
  </si>
  <si>
    <t>This is mathematically elegant.</t>
  </si>
  <si>
    <t>Core idea:</t>
  </si>
  <si>
    <r>
      <t>·</t>
    </r>
    <r>
      <rPr>
        <sz val="7"/>
        <color theme="1"/>
        <rFont val="Times New Roman"/>
        <family val="1"/>
      </rPr>
      <t xml:space="preserve">         </t>
    </r>
    <r>
      <rPr>
        <sz val="12"/>
        <color theme="1"/>
        <rFont val="Times New Roman"/>
        <family val="1"/>
      </rPr>
      <t>Control inventory risk</t>
    </r>
  </si>
  <si>
    <r>
      <t>·</t>
    </r>
    <r>
      <rPr>
        <sz val="7"/>
        <color theme="1"/>
        <rFont val="Times New Roman"/>
        <family val="1"/>
      </rPr>
      <t xml:space="preserve">         </t>
    </r>
    <r>
      <rPr>
        <sz val="12"/>
        <color theme="1"/>
        <rFont val="Times New Roman"/>
        <family val="1"/>
      </rPr>
      <t>Adjust quotes based on inventory</t>
    </r>
  </si>
  <si>
    <r>
      <t>·</t>
    </r>
    <r>
      <rPr>
        <sz val="7"/>
        <color theme="1"/>
        <rFont val="Times New Roman"/>
        <family val="1"/>
      </rPr>
      <t xml:space="preserve">         </t>
    </r>
    <r>
      <rPr>
        <sz val="12"/>
        <color theme="1"/>
        <rFont val="Times New Roman"/>
        <family val="1"/>
      </rPr>
      <t>Optimize expected utility</t>
    </r>
  </si>
  <si>
    <t>Key Components:</t>
  </si>
  <si>
    <r>
      <t>·</t>
    </r>
    <r>
      <rPr>
        <sz val="7"/>
        <color theme="1"/>
        <rFont val="Times New Roman"/>
        <family val="1"/>
      </rPr>
      <t xml:space="preserve">         </t>
    </r>
    <r>
      <rPr>
        <sz val="12"/>
        <color theme="1"/>
        <rFont val="Times New Roman"/>
        <family val="1"/>
      </rPr>
      <t>Risk aversion parameter</t>
    </r>
  </si>
  <si>
    <r>
      <t>·</t>
    </r>
    <r>
      <rPr>
        <sz val="7"/>
        <color theme="1"/>
        <rFont val="Times New Roman"/>
        <family val="1"/>
      </rPr>
      <t xml:space="preserve">         </t>
    </r>
    <r>
      <rPr>
        <sz val="12"/>
        <color theme="1"/>
        <rFont val="Times New Roman"/>
        <family val="1"/>
      </rPr>
      <t>Volatility estimate</t>
    </r>
  </si>
  <si>
    <r>
      <t>·</t>
    </r>
    <r>
      <rPr>
        <sz val="7"/>
        <color theme="1"/>
        <rFont val="Times New Roman"/>
        <family val="1"/>
      </rPr>
      <t xml:space="preserve">         </t>
    </r>
    <r>
      <rPr>
        <sz val="12"/>
        <color theme="1"/>
        <rFont val="Times New Roman"/>
        <family val="1"/>
      </rPr>
      <t>Inventory position</t>
    </r>
  </si>
  <si>
    <r>
      <t>·</t>
    </r>
    <r>
      <rPr>
        <sz val="7"/>
        <color theme="1"/>
        <rFont val="Times New Roman"/>
        <family val="1"/>
      </rPr>
      <t xml:space="preserve">         </t>
    </r>
    <r>
      <rPr>
        <sz val="12"/>
        <color theme="1"/>
        <rFont val="Times New Roman"/>
        <family val="1"/>
      </rPr>
      <t>Time horizon</t>
    </r>
  </si>
  <si>
    <t>This is used in real quant shops.</t>
  </si>
  <si>
    <t>Backtesting requires:</t>
  </si>
  <si>
    <r>
      <t>·</t>
    </r>
    <r>
      <rPr>
        <sz val="7"/>
        <color theme="1"/>
        <rFont val="Times New Roman"/>
        <family val="1"/>
      </rPr>
      <t xml:space="preserve">         </t>
    </r>
    <r>
      <rPr>
        <sz val="12"/>
        <color theme="1"/>
        <rFont val="Times New Roman"/>
        <family val="1"/>
      </rPr>
      <t>Continuous inventory tracking</t>
    </r>
  </si>
  <si>
    <r>
      <t>·</t>
    </r>
    <r>
      <rPr>
        <sz val="7"/>
        <color theme="1"/>
        <rFont val="Times New Roman"/>
        <family val="1"/>
      </rPr>
      <t xml:space="preserve">         </t>
    </r>
    <r>
      <rPr>
        <sz val="12"/>
        <color theme="1"/>
        <rFont val="Times New Roman"/>
        <family val="1"/>
      </rPr>
      <t>Dynamic spread adjustment</t>
    </r>
  </si>
  <si>
    <r>
      <t>·</t>
    </r>
    <r>
      <rPr>
        <sz val="7"/>
        <color theme="1"/>
        <rFont val="Times New Roman"/>
        <family val="1"/>
      </rPr>
      <t xml:space="preserve">         </t>
    </r>
    <r>
      <rPr>
        <sz val="12"/>
        <color theme="1"/>
        <rFont val="Times New Roman"/>
        <family val="1"/>
      </rPr>
      <t>Realistic execution modeling</t>
    </r>
  </si>
  <si>
    <r>
      <t>5️</t>
    </r>
    <r>
      <rPr>
        <b/>
        <sz val="18"/>
        <color theme="1"/>
        <rFont val="Tahoma"/>
        <family val="2"/>
      </rPr>
      <t>⃣</t>
    </r>
    <r>
      <rPr>
        <b/>
        <sz val="18"/>
        <color theme="1"/>
        <rFont val="Times New Roman"/>
        <family val="1"/>
      </rPr>
      <t xml:space="preserve">    Queue Position Strategy (Very Advanced)</t>
    </r>
  </si>
  <si>
    <t>In HFT, your fill depends on:</t>
  </si>
  <si>
    <r>
      <t>·</t>
    </r>
    <r>
      <rPr>
        <sz val="7"/>
        <color theme="1"/>
        <rFont val="Times New Roman"/>
        <family val="1"/>
      </rPr>
      <t xml:space="preserve">         </t>
    </r>
    <r>
      <rPr>
        <sz val="12"/>
        <color theme="1"/>
        <rFont val="Times New Roman"/>
        <family val="1"/>
      </rPr>
      <t>How many orders are ahead of you</t>
    </r>
  </si>
  <si>
    <r>
      <t>·</t>
    </r>
    <r>
      <rPr>
        <sz val="7"/>
        <color theme="1"/>
        <rFont val="Times New Roman"/>
        <family val="1"/>
      </rPr>
      <t xml:space="preserve">         </t>
    </r>
    <r>
      <rPr>
        <sz val="12"/>
        <color theme="1"/>
        <rFont val="Times New Roman"/>
        <family val="1"/>
      </rPr>
      <t>Cancel rates</t>
    </r>
  </si>
  <si>
    <r>
      <t>·</t>
    </r>
    <r>
      <rPr>
        <sz val="7"/>
        <color theme="1"/>
        <rFont val="Times New Roman"/>
        <family val="1"/>
      </rPr>
      <t xml:space="preserve">         </t>
    </r>
    <r>
      <rPr>
        <sz val="12"/>
        <color theme="1"/>
        <rFont val="Times New Roman"/>
        <family val="1"/>
      </rPr>
      <t>Trade flow</t>
    </r>
  </si>
  <si>
    <t>If you don’t model queue position, your backtest is fake.</t>
  </si>
  <si>
    <t>Requires:</t>
  </si>
  <si>
    <r>
      <t>·</t>
    </r>
    <r>
      <rPr>
        <sz val="7"/>
        <color theme="1"/>
        <rFont val="Times New Roman"/>
        <family val="1"/>
      </rPr>
      <t xml:space="preserve">         </t>
    </r>
    <r>
      <rPr>
        <sz val="12"/>
        <color theme="1"/>
        <rFont val="Times New Roman"/>
        <family val="1"/>
      </rPr>
      <t>Level 3 data (individual order events)</t>
    </r>
  </si>
  <si>
    <r>
      <t>·</t>
    </r>
    <r>
      <rPr>
        <sz val="7"/>
        <color theme="1"/>
        <rFont val="Times New Roman"/>
        <family val="1"/>
      </rPr>
      <t xml:space="preserve">         </t>
    </r>
    <r>
      <rPr>
        <sz val="12"/>
        <color theme="1"/>
        <rFont val="Times New Roman"/>
        <family val="1"/>
      </rPr>
      <t>Order add / cancel / modify events</t>
    </r>
  </si>
  <si>
    <t>This is elite-level backtesting.</t>
  </si>
  <si>
    <r>
      <t>6️</t>
    </r>
    <r>
      <rPr>
        <b/>
        <sz val="18"/>
        <color theme="1"/>
        <rFont val="Tahoma"/>
        <family val="2"/>
      </rPr>
      <t>⃣</t>
    </r>
    <r>
      <rPr>
        <b/>
        <sz val="18"/>
        <color theme="1"/>
        <rFont val="Times New Roman"/>
        <family val="1"/>
      </rPr>
      <t xml:space="preserve">    Latency Arbitrage / Microstructure Reaction</t>
    </r>
  </si>
  <si>
    <r>
      <t>·</t>
    </r>
    <r>
      <rPr>
        <sz val="7"/>
        <color theme="1"/>
        <rFont val="Times New Roman"/>
        <family val="1"/>
      </rPr>
      <t xml:space="preserve">         </t>
    </r>
    <r>
      <rPr>
        <sz val="12"/>
        <color theme="1"/>
        <rFont val="Times New Roman"/>
        <family val="1"/>
      </rPr>
      <t>Detect order book sweep</t>
    </r>
  </si>
  <si>
    <r>
      <t>·</t>
    </r>
    <r>
      <rPr>
        <sz val="7"/>
        <color theme="1"/>
        <rFont val="Times New Roman"/>
        <family val="1"/>
      </rPr>
      <t xml:space="preserve">         </t>
    </r>
    <r>
      <rPr>
        <sz val="12"/>
        <color theme="1"/>
        <rFont val="Times New Roman"/>
        <family val="1"/>
      </rPr>
      <t>Predict short-term directional move</t>
    </r>
  </si>
  <si>
    <r>
      <t>·</t>
    </r>
    <r>
      <rPr>
        <sz val="7"/>
        <color theme="1"/>
        <rFont val="Times New Roman"/>
        <family val="1"/>
      </rPr>
      <t xml:space="preserve">         </t>
    </r>
    <r>
      <rPr>
        <sz val="12"/>
        <color theme="1"/>
        <rFont val="Times New Roman"/>
        <family val="1"/>
      </rPr>
      <t>Join move immediately</t>
    </r>
  </si>
  <si>
    <t>Backtesting must simulate:</t>
  </si>
  <si>
    <r>
      <t>·</t>
    </r>
    <r>
      <rPr>
        <sz val="7"/>
        <color theme="1"/>
        <rFont val="Times New Roman"/>
        <family val="1"/>
      </rPr>
      <t xml:space="preserve">         </t>
    </r>
    <r>
      <rPr>
        <sz val="12"/>
        <color theme="1"/>
        <rFont val="Times New Roman"/>
        <family val="1"/>
      </rPr>
      <t>Latency (e.g., 200µs vs 2ms)</t>
    </r>
  </si>
  <si>
    <r>
      <t>·</t>
    </r>
    <r>
      <rPr>
        <sz val="7"/>
        <color theme="1"/>
        <rFont val="Times New Roman"/>
        <family val="1"/>
      </rPr>
      <t xml:space="preserve">         </t>
    </r>
    <r>
      <rPr>
        <sz val="12"/>
        <color theme="1"/>
        <rFont val="Times New Roman"/>
        <family val="1"/>
      </rPr>
      <t>Order delay</t>
    </r>
  </si>
  <si>
    <r>
      <t>·</t>
    </r>
    <r>
      <rPr>
        <sz val="7"/>
        <color theme="1"/>
        <rFont val="Times New Roman"/>
        <family val="1"/>
      </rPr>
      <t xml:space="preserve">         </t>
    </r>
    <r>
      <rPr>
        <sz val="12"/>
        <color theme="1"/>
        <rFont val="Times New Roman"/>
        <family val="1"/>
      </rPr>
      <t>Market impact</t>
    </r>
  </si>
  <si>
    <t>This matters heavily in crypto.</t>
  </si>
  <si>
    <r>
      <t>7️</t>
    </r>
    <r>
      <rPr>
        <b/>
        <sz val="18"/>
        <color theme="1"/>
        <rFont val="Tahoma"/>
        <family val="2"/>
      </rPr>
      <t>⃣</t>
    </r>
    <r>
      <rPr>
        <b/>
        <sz val="18"/>
        <color theme="1"/>
        <rFont val="Times New Roman"/>
        <family val="1"/>
      </rPr>
      <t xml:space="preserve">    Adaptive Spread Strategy</t>
    </r>
  </si>
  <si>
    <t>Spread = f(volatility, imbalance, inventory, trade flow)</t>
  </si>
  <si>
    <t>Dynamic quoting:</t>
  </si>
  <si>
    <r>
      <t>·</t>
    </r>
    <r>
      <rPr>
        <sz val="7"/>
        <color theme="1"/>
        <rFont val="Times New Roman"/>
        <family val="1"/>
      </rPr>
      <t xml:space="preserve">         </t>
    </r>
    <r>
      <rPr>
        <sz val="12"/>
        <color theme="1"/>
        <rFont val="Times New Roman"/>
        <family val="1"/>
      </rPr>
      <t>Widen spread in high volatility</t>
    </r>
  </si>
  <si>
    <r>
      <t>·</t>
    </r>
    <r>
      <rPr>
        <sz val="7"/>
        <color theme="1"/>
        <rFont val="Times New Roman"/>
        <family val="1"/>
      </rPr>
      <t xml:space="preserve">         </t>
    </r>
    <r>
      <rPr>
        <sz val="12"/>
        <color theme="1"/>
        <rFont val="Times New Roman"/>
        <family val="1"/>
      </rPr>
      <t>Tighten spread in stable conditions</t>
    </r>
  </si>
  <si>
    <t>This improves Sharpe significantly.</t>
  </si>
  <si>
    <t>Critical Backtesting Requirements (Most People Get This Wrong)</t>
  </si>
  <si>
    <t>For HFT order book backtesting, you MUST simulate:</t>
  </si>
  <si>
    <r>
      <t>1️</t>
    </r>
    <r>
      <rPr>
        <sz val="12"/>
        <color theme="1"/>
        <rFont val="Tahoma"/>
        <family val="2"/>
      </rPr>
      <t>⃣</t>
    </r>
    <r>
      <rPr>
        <sz val="12"/>
        <color theme="1"/>
        <rFont val="Times New Roman"/>
        <family val="1"/>
      </rPr>
      <t xml:space="preserve">    Event-driven engine (not candle-based)</t>
    </r>
  </si>
  <si>
    <r>
      <t>2️</t>
    </r>
    <r>
      <rPr>
        <sz val="12"/>
        <color theme="1"/>
        <rFont val="Tahoma"/>
        <family val="2"/>
      </rPr>
      <t>⃣</t>
    </r>
    <r>
      <rPr>
        <sz val="12"/>
        <color theme="1"/>
        <rFont val="Times New Roman"/>
        <family val="1"/>
      </rPr>
      <t xml:space="preserve">    Order matching logic</t>
    </r>
  </si>
  <si>
    <r>
      <t>3️</t>
    </r>
    <r>
      <rPr>
        <sz val="12"/>
        <color theme="1"/>
        <rFont val="Tahoma"/>
        <family val="2"/>
      </rPr>
      <t xml:space="preserve">⃣   </t>
    </r>
    <r>
      <rPr>
        <sz val="12"/>
        <color theme="1"/>
        <rFont val="Times New Roman"/>
        <family val="1"/>
      </rPr>
      <t xml:space="preserve"> Partial fills</t>
    </r>
  </si>
  <si>
    <r>
      <t>4️</t>
    </r>
    <r>
      <rPr>
        <sz val="12"/>
        <color theme="1"/>
        <rFont val="Tahoma"/>
        <family val="2"/>
      </rPr>
      <t>⃣</t>
    </r>
    <r>
      <rPr>
        <sz val="12"/>
        <color theme="1"/>
        <rFont val="Times New Roman"/>
        <family val="1"/>
      </rPr>
      <t xml:space="preserve">    Queue position</t>
    </r>
  </si>
  <si>
    <r>
      <t>5️</t>
    </r>
    <r>
      <rPr>
        <sz val="12"/>
        <color theme="1"/>
        <rFont val="Tahoma"/>
        <family val="2"/>
      </rPr>
      <t>⃣</t>
    </r>
    <r>
      <rPr>
        <sz val="12"/>
        <color theme="1"/>
        <rFont val="Times New Roman"/>
        <family val="1"/>
      </rPr>
      <t xml:space="preserve">    Maker / taker fees</t>
    </r>
  </si>
  <si>
    <r>
      <t>6️</t>
    </r>
    <r>
      <rPr>
        <sz val="12"/>
        <color theme="1"/>
        <rFont val="Tahoma"/>
        <family val="2"/>
      </rPr>
      <t>⃣</t>
    </r>
    <r>
      <rPr>
        <sz val="12"/>
        <color theme="1"/>
        <rFont val="Times New Roman"/>
        <family val="1"/>
      </rPr>
      <t xml:space="preserve">    Latency</t>
    </r>
  </si>
  <si>
    <r>
      <t>7️</t>
    </r>
    <r>
      <rPr>
        <sz val="12"/>
        <color theme="1"/>
        <rFont val="Tahoma"/>
        <family val="2"/>
      </rPr>
      <t>⃣</t>
    </r>
    <r>
      <rPr>
        <sz val="12"/>
        <color theme="1"/>
        <rFont val="Times New Roman"/>
        <family val="1"/>
      </rPr>
      <t xml:space="preserve">    Order cancellation delays</t>
    </r>
  </si>
  <si>
    <r>
      <t>8️</t>
    </r>
    <r>
      <rPr>
        <sz val="12"/>
        <color theme="1"/>
        <rFont val="Tahoma"/>
        <family val="2"/>
      </rPr>
      <t>⃣</t>
    </r>
    <r>
      <rPr>
        <sz val="12"/>
        <color theme="1"/>
        <rFont val="Times New Roman"/>
        <family val="1"/>
      </rPr>
      <t xml:space="preserve">   Slippage</t>
    </r>
  </si>
  <si>
    <t>Otherwise results are fantasy.</t>
  </si>
  <si>
    <t>Most Profitable Strategies in Crypto Market Making</t>
  </si>
  <si>
    <t>From real-world observation:</t>
  </si>
  <si>
    <r>
      <t>1.</t>
    </r>
    <r>
      <rPr>
        <b/>
        <sz val="7"/>
        <color theme="1"/>
        <rFont val="Times New Roman"/>
        <family val="1"/>
      </rPr>
      <t xml:space="preserve">      </t>
    </r>
    <r>
      <rPr>
        <b/>
        <sz val="12"/>
        <color theme="1"/>
        <rFont val="Times New Roman"/>
        <family val="1"/>
      </rPr>
      <t>Imbalance + Microprice hybrid</t>
    </r>
  </si>
  <si>
    <r>
      <t>2.</t>
    </r>
    <r>
      <rPr>
        <b/>
        <sz val="7"/>
        <color theme="1"/>
        <rFont val="Times New Roman"/>
        <family val="1"/>
      </rPr>
      <t xml:space="preserve">      </t>
    </r>
    <r>
      <rPr>
        <b/>
        <sz val="12"/>
        <color theme="1"/>
        <rFont val="Times New Roman"/>
        <family val="1"/>
      </rPr>
      <t>Inventory-aware adaptive spread</t>
    </r>
  </si>
  <si>
    <r>
      <t>3.</t>
    </r>
    <r>
      <rPr>
        <b/>
        <sz val="7"/>
        <color theme="1"/>
        <rFont val="Times New Roman"/>
        <family val="1"/>
      </rPr>
      <t xml:space="preserve">      </t>
    </r>
    <r>
      <rPr>
        <b/>
        <sz val="12"/>
        <color theme="1"/>
        <rFont val="Times New Roman"/>
        <family val="1"/>
      </rPr>
      <t>Toxic flow detection (avoid adverse selection)</t>
    </r>
  </si>
  <si>
    <r>
      <t>4.</t>
    </r>
    <r>
      <rPr>
        <b/>
        <sz val="7"/>
        <color theme="1"/>
        <rFont val="Times New Roman"/>
        <family val="1"/>
      </rPr>
      <t xml:space="preserve">      </t>
    </r>
    <r>
      <rPr>
        <b/>
        <sz val="12"/>
        <color theme="1"/>
        <rFont val="Times New Roman"/>
        <family val="1"/>
      </rPr>
      <t>Cancel rate prediction models</t>
    </r>
  </si>
  <si>
    <r>
      <t>5.</t>
    </r>
    <r>
      <rPr>
        <b/>
        <sz val="7"/>
        <color theme="1"/>
        <rFont val="Times New Roman"/>
        <family val="1"/>
      </rPr>
      <t xml:space="preserve">      </t>
    </r>
    <r>
      <rPr>
        <b/>
        <sz val="12"/>
        <color theme="1"/>
        <rFont val="Times New Roman"/>
        <family val="1"/>
      </rPr>
      <t>Reinforcement learning quoting models</t>
    </r>
  </si>
  <si>
    <t>6 This is enough to build based on data available:</t>
  </si>
  <si>
    <r>
      <t>✅</t>
    </r>
    <r>
      <rPr>
        <sz val="12"/>
        <color theme="1"/>
        <rFont val="Times New Roman"/>
        <family val="1"/>
      </rPr>
      <t xml:space="preserve"> Production-grade market making simulator</t>
    </r>
  </si>
  <si>
    <r>
      <t>✅</t>
    </r>
    <r>
      <rPr>
        <sz val="12"/>
        <color theme="1"/>
        <rFont val="Times New Roman"/>
        <family val="1"/>
      </rPr>
      <t xml:space="preserve"> Microstructure alpha research</t>
    </r>
  </si>
  <si>
    <r>
      <t>✅</t>
    </r>
    <r>
      <rPr>
        <sz val="12"/>
        <color theme="1"/>
        <rFont val="Times New Roman"/>
        <family val="1"/>
      </rPr>
      <t xml:space="preserve"> Inventory-based quoting engine</t>
    </r>
  </si>
  <si>
    <r>
      <t>✅</t>
    </r>
    <r>
      <rPr>
        <sz val="12"/>
        <color theme="1"/>
        <rFont val="Times New Roman"/>
        <family val="1"/>
      </rPr>
      <t xml:space="preserve"> Fill probability modeling</t>
    </r>
  </si>
  <si>
    <r>
      <t>✅</t>
    </r>
    <r>
      <rPr>
        <sz val="12"/>
        <color theme="1"/>
        <rFont val="Times New Roman"/>
        <family val="1"/>
      </rPr>
      <t xml:space="preserve"> Latency modeling</t>
    </r>
  </si>
  <si>
    <r>
      <t>✅</t>
    </r>
    <r>
      <rPr>
        <sz val="12"/>
        <color theme="1"/>
        <rFont val="Times New Roman"/>
        <family val="1"/>
      </rPr>
      <t xml:space="preserve"> Queue simulation</t>
    </r>
  </si>
  <si>
    <t>This is not beginner data. This is real infrastructure data.</t>
  </si>
  <si>
    <t>High-Level Architecture (Production Style)</t>
  </si>
  <si>
    <t xml:space="preserve">                ┌────────────────────┐</t>
  </si>
  <si>
    <t xml:space="preserve">                │  Streaming Parser  │</t>
  </si>
  <si>
    <t xml:space="preserve">                └─────────┬──────────┘</t>
  </si>
  <si>
    <t xml:space="preserve">                          │</t>
  </si>
  <si>
    <t xml:space="preserve">                ┌─────────▼──────────┐</t>
  </si>
  <si>
    <t xml:space="preserve">                │ OrderBook Engine   │</t>
  </si>
  <si>
    <t xml:space="preserve">                │ (L2 Reconstruction)│</t>
  </si>
  <si>
    <t xml:space="preserve">                │ Feature Engine     │</t>
  </si>
  <si>
    <t xml:space="preserve">                │ (Microstructure)   │</t>
  </si>
  <si>
    <t xml:space="preserve">                │ Strategy Engine    │</t>
  </si>
  <si>
    <t xml:space="preserve">                │ Fill Simulator     │</t>
  </si>
  <si>
    <t xml:space="preserve">                │ Risk &amp; PnL Engine  │</t>
  </si>
  <si>
    <t xml:space="preserve">                └────────────────────┘</t>
  </si>
  <si>
    <t>Input data format downloaded from https://www.bybit.com/derivatives/en/history-data</t>
  </si>
  <si>
    <t>Spot-BTCUSDT</t>
  </si>
  <si>
    <r>
      <t xml:space="preserve">Data files saved in </t>
    </r>
    <r>
      <rPr>
        <sz val="12"/>
        <color rgb="FFFF0000"/>
        <rFont val="Calibri"/>
        <family val="2"/>
        <scheme val="minor"/>
      </rPr>
      <t>Folder: E:\Binance\March</t>
    </r>
  </si>
  <si>
    <t>Input data: Public Trade data</t>
  </si>
  <si>
    <t>Input Data: Order book  data</t>
  </si>
  <si>
    <t>Folder: E:\Binance\March\All\2026-03-01_BTCUSDT_ob200.data</t>
  </si>
  <si>
    <t>What Each File Gives You</t>
  </si>
  <si>
    <t>Order Book (NDJSON)</t>
  </si>
  <si>
    <t>Public Trades (CSV)</t>
  </si>
  <si>
    <t>Purpose</t>
  </si>
  <si>
    <t>See the full queue at every price level</t>
  </si>
  <si>
    <t xml:space="preserve">                 See actual executed trades</t>
  </si>
  <si>
    <t>Used for</t>
  </si>
  <si>
    <t>OBI, spread, depth, queue simulation</t>
  </si>
  <si>
    <t xml:space="preserve">         Fill probability, trade flow,                                 aggressor  detection</t>
  </si>
  <si>
    <t>Feeds into</t>
  </si>
  <si>
    <t>Inventory quoting engine</t>
  </si>
  <si>
    <t xml:space="preserve">              Microstructure alpha research</t>
  </si>
  <si>
    <t>Q: What OS is your server/machine running? A: Windows 11 with WSL2</t>
  </si>
  <si>
    <t>Q: Which services should run inside Docker containers? (Select all that apply) A: Kafka, Redis, TimescaleDB, Jenkins, React Dashboard, Ray, Python Engine</t>
  </si>
  <si>
    <t>Q: What should Jenkins validate before allowing live trading? (Select all that apply) A: IC &gt; 0.02 threshold, Sharpe Ratio &gt; 1.5, Max Drawdown &lt; 5%, Fill Rate &gt; 60%, All unit tests pass, Anything you like to add for validating a Market making strategy</t>
  </si>
  <si>
    <t>Q: What notifications should Jenkins/Claude send? (Select all that apply) A: Desktop popup</t>
  </si>
  <si>
    <t>Q: When should Claude AI trigger an alert? (Select all that apply) A: IC drops below threshold, Inventory breaches max limit, Pipeline service goes down, P&amp;L drawdown exceeded, Latency spike detected, Any other factors which seem critical for HFT maket making strategy. It/s the Actual intelligence layer</t>
  </si>
  <si>
    <t>Q: Where is your order book + trade data stored for Jenkins to pick up? A: Kafka topic directly</t>
  </si>
  <si>
    <t>Q: How should docker compose up start the pipeline? A: In My docker desktop, Jenkins decide the order. Please check</t>
  </si>
  <si>
    <t>Q: What is your Claude AI API access situation? A: I have an Anthropic API key</t>
  </si>
  <si>
    <t>Full Architecture Decision:</t>
  </si>
  <si>
    <t>Decision</t>
  </si>
  <si>
    <t>Answer</t>
  </si>
  <si>
    <t>Strategy source</t>
  </si>
  <si>
    <t>Public GitHub repo, webhook triggers Jenkins</t>
  </si>
  <si>
    <t>Deployment</t>
  </si>
  <si>
    <t>Ray handles parallelism (one container, multiple strategies)</t>
  </si>
  <si>
    <t>Data source</t>
  </si>
  <si>
    <t>Local files (E:\Binance\March), switchable via config</t>
  </si>
  <si>
    <t>Kafka topics</t>
  </si>
  <si>
    <t>Jenkins assigns per strategy run</t>
  </si>
  <si>
    <t>Output schema</t>
  </si>
  <si>
    <t>Standard — you decide (I design it)</t>
  </si>
  <si>
    <t>Strategy isolation</t>
  </si>
  <si>
    <t>Ray workers, one per strategy</t>
  </si>
  <si>
    <t>Results comparison</t>
  </si>
  <si>
    <t>Dashboard + PDF report + Claude AI summary</t>
  </si>
  <si>
    <t>Mode</t>
  </si>
  <si>
    <t>Backtest first → paper trade if all 11 gates pass</t>
  </si>
  <si>
    <t>Portability</t>
  </si>
  <si>
    <t>Runs on any laptop with Docker Desktop</t>
  </si>
  <si>
    <t>Standard Output Schema (I am defining this):</t>
  </si>
  <si>
    <t>strategy_id        — unique name + version</t>
  </si>
  <si>
    <t>run_id             — unique per Jenkins run</t>
  </si>
  <si>
    <t>timestamp          — when metrics were computed</t>
  </si>
  <si>
    <t>mode               — backtest / paper</t>
  </si>
  <si>
    <t>── Performance ──</t>
  </si>
  <si>
    <t>sharpe_ratio       — annualized</t>
  </si>
  <si>
    <t>sortino_ratio      — downside risk adjusted</t>
  </si>
  <si>
    <t>total_pnl_usdt     — gross P&amp;L</t>
  </si>
  <si>
    <t>net_pnl_usdt       — after fees</t>
  </si>
  <si>
    <t>max_drawdown_pct   — peak to trough</t>
  </si>
  <si>
    <t>win_rate_pct       — profitable trades %</t>
  </si>
  <si>
    <t>profit_factor      — gross profit / gross loss</t>
  </si>
  <si>
    <t>── HFT Specific ──</t>
  </si>
  <si>
    <t>fill_rate_pct      — filled quotes / total quotes</t>
  </si>
  <si>
    <t>adverse_selection_pct  — filled against us %</t>
  </si>
  <si>
    <t>quote_to_trade_ratio   — quotes placed / trades filled</t>
  </si>
  <si>
    <t>spread_capture_pct — spread captured vs theoretical</t>
  </si>
  <si>
    <t>avg_latency_ms     — tick to quote latency</t>
  </si>
  <si>
    <t>── Microstructure ──</t>
  </si>
  <si>
    <t>ic_score           — information coefficient</t>
  </si>
  <si>
    <t>obi_correlation    — OBI signal vs price move correlation</t>
  </si>
  <si>
    <t>inventory_mean_reversion_pct — how often inventory returns to 0</t>
  </si>
  <si>
    <t>max_inventory_btc  — peak inventory held</t>
  </si>
  <si>
    <t>avg_inventory_btc  — average absolute inventory</t>
  </si>
  <si>
    <t>── Risk ──</t>
  </si>
  <si>
    <t>fee_adjusted_pnl   — P&amp;L minus all fees</t>
  </si>
  <si>
    <t>ic_stability_days  — days IC stayed above 0.02</t>
  </si>
  <si>
    <t>latency_breach_count — times latency &gt; 50ms</t>
  </si>
  <si>
    <t>Built so far (10 files):</t>
  </si>
  <si>
    <t>File</t>
  </si>
  <si>
    <t>What it does</t>
  </si>
  <si>
    <t>01_schema.sql</t>
  </si>
  <si>
    <t>14 tables, hypertables, retention policies, 4 views</t>
  </si>
  <si>
    <t>02_docker-compose.yml</t>
  </si>
  <si>
    <t>Full stack, memory limits, health checks</t>
  </si>
  <si>
    <t>03_.env.example</t>
  </si>
  <si>
    <t>All 40+ config variables</t>
  </si>
  <si>
    <t>04_kafka/main.py</t>
  </si>
  <si>
    <t>Asks data source, validates, starts producers</t>
  </si>
  <si>
    <t>05_data_validator.py</t>
  </si>
  <si>
    <r>
      <t xml:space="preserve">Raises </t>
    </r>
    <r>
      <rPr>
        <sz val="14"/>
        <color rgb="FFFF0000"/>
        <rFont val="Courier New"/>
        <family val="3"/>
      </rPr>
      <t>DataNotAvailableError</t>
    </r>
    <r>
      <rPr>
        <sz val="14"/>
        <color rgb="FFFF0000"/>
        <rFont val="Times New Roman"/>
        <family val="1"/>
      </rPr>
      <t xml:space="preserve"> — no fake data ever</t>
    </r>
  </si>
  <si>
    <t>06_ob_producer.py</t>
  </si>
  <si>
    <t>Reads ob200 NDJSON → Kafka (orjson + msgpack)</t>
  </si>
  <si>
    <t>07_trades_producer.py</t>
  </si>
  <si>
    <t>Reads trades CSV → Kafka (numpy vectorized)</t>
  </si>
  <si>
    <t>08_orderbook.py</t>
  </si>
  <si>
    <t>L2 reconstruction, SoA float32, zero loops</t>
  </si>
  <si>
    <t>09_microstructure.py</t>
  </si>
  <si>
    <t>OBI, microprice, spread, vol, momentum</t>
  </si>
  <si>
    <t>10_base.py</t>
  </si>
  <si>
    <t>BaseStrategy interface all GitHub strategies must implement</t>
  </si>
  <si>
    <t>Next 19 files</t>
  </si>
  <si>
    <t>→ strategy/loader.py (GitHub pull + validation)</t>
  </si>
  <si>
    <t>→ simulation/fill_simulator.py</t>
  </si>
  <si>
    <t>→ risk/inventory.py → analysis/wfa.py</t>
  </si>
  <si>
    <t>→ analysis/regime.py</t>
  </si>
  <si>
    <t>→ analysis/scoring.py</t>
  </si>
  <si>
    <t>→ metrics/reporter.py</t>
  </si>
  <si>
    <t>→ python-engine/main.py</t>
  </si>
  <si>
    <t>→ claude-agent (4 files)</t>
  </si>
  <si>
    <t>→ jenkins/Jenkinsfile</t>
  </si>
  <si>
    <t>→ react-dashboard (13 components)</t>
  </si>
  <si>
    <t>→ nginx + scripts</t>
  </si>
  <si>
    <t>BUILD COMPLETE. All 40 files across 10 phases.</t>
  </si>
  <si>
    <t>Full file inventory:</t>
  </si>
  <si>
    <t>Phase</t>
  </si>
  <si>
    <t>Files</t>
  </si>
  <si>
    <t>What was built</t>
  </si>
  <si>
    <t>1 — DB</t>
  </si>
  <si>
    <t>14 tables, hypertables, 4 views, retention policies</t>
  </si>
  <si>
    <t>2 — Infra</t>
  </si>
  <si>
    <r>
      <t>docker-compose.yml</t>
    </r>
    <r>
      <rPr>
        <sz val="12"/>
        <color theme="1"/>
        <rFont val="Times New Roman"/>
        <family val="1"/>
      </rPr>
      <t xml:space="preserve">, </t>
    </r>
    <r>
      <rPr>
        <sz val="10"/>
        <color theme="1"/>
        <rFont val="Courier New"/>
        <family val="3"/>
      </rPr>
      <t>.env.example</t>
    </r>
  </si>
  <si>
    <t>Full stack, health checks, networks</t>
  </si>
  <si>
    <t>3 — Data</t>
  </si>
  <si>
    <r>
      <t>main.py</t>
    </r>
    <r>
      <rPr>
        <sz val="12"/>
        <color theme="1"/>
        <rFont val="Times New Roman"/>
        <family val="1"/>
      </rPr>
      <t xml:space="preserve">, </t>
    </r>
    <r>
      <rPr>
        <sz val="10"/>
        <color theme="1"/>
        <rFont val="Courier New"/>
        <family val="3"/>
      </rPr>
      <t>data_validator.py</t>
    </r>
    <r>
      <rPr>
        <sz val="12"/>
        <color theme="1"/>
        <rFont val="Times New Roman"/>
        <family val="1"/>
      </rPr>
      <t xml:space="preserve">, </t>
    </r>
    <r>
      <rPr>
        <sz val="10"/>
        <color theme="1"/>
        <rFont val="Courier New"/>
        <family val="3"/>
      </rPr>
      <t>ob_producer.py</t>
    </r>
    <r>
      <rPr>
        <sz val="12"/>
        <color theme="1"/>
        <rFont val="Times New Roman"/>
        <family val="1"/>
      </rPr>
      <t xml:space="preserve">, </t>
    </r>
    <r>
      <rPr>
        <sz val="10"/>
        <color theme="1"/>
        <rFont val="Courier New"/>
        <family val="3"/>
      </rPr>
      <t>trades_producer.py</t>
    </r>
  </si>
  <si>
    <r>
      <t xml:space="preserve">NDJSON + CSV → Kafka. </t>
    </r>
    <r>
      <rPr>
        <sz val="10"/>
        <color theme="1"/>
        <rFont val="Courier New"/>
        <family val="3"/>
      </rPr>
      <t>DataNotAvailableError</t>
    </r>
    <r>
      <rPr>
        <sz val="12"/>
        <color theme="1"/>
        <rFont val="Times New Roman"/>
        <family val="1"/>
      </rPr>
      <t xml:space="preserve"> everywhere</t>
    </r>
  </si>
  <si>
    <t>4 — Core Engine</t>
  </si>
  <si>
    <r>
      <t>orderbook.py</t>
    </r>
    <r>
      <rPr>
        <sz val="12"/>
        <color theme="1"/>
        <rFont val="Times New Roman"/>
        <family val="1"/>
      </rPr>
      <t xml:space="preserve">, </t>
    </r>
    <r>
      <rPr>
        <sz val="10"/>
        <color theme="1"/>
        <rFont val="Courier New"/>
        <family val="3"/>
      </rPr>
      <t>microstructure.py</t>
    </r>
    <r>
      <rPr>
        <sz val="12"/>
        <color theme="1"/>
        <rFont val="Times New Roman"/>
        <family val="1"/>
      </rPr>
      <t xml:space="preserve">, </t>
    </r>
    <r>
      <rPr>
        <sz val="10"/>
        <color theme="1"/>
        <rFont val="Courier New"/>
        <family val="3"/>
      </rPr>
      <t>base.py</t>
    </r>
    <r>
      <rPr>
        <sz val="12"/>
        <color theme="1"/>
        <rFont val="Times New Roman"/>
        <family val="1"/>
      </rPr>
      <t xml:space="preserve">, </t>
    </r>
    <r>
      <rPr>
        <sz val="10"/>
        <color theme="1"/>
        <rFont val="Courier New"/>
        <family val="3"/>
      </rPr>
      <t>loader.py</t>
    </r>
  </si>
  <si>
    <t>SoA float32, OBI, microprice, GitHub strategy loader</t>
  </si>
  <si>
    <t>5 — Sim &amp; Risk</t>
  </si>
  <si>
    <r>
      <t>fill_simulator.py</t>
    </r>
    <r>
      <rPr>
        <sz val="12"/>
        <color theme="1"/>
        <rFont val="Times New Roman"/>
        <family val="1"/>
      </rPr>
      <t xml:space="preserve">, </t>
    </r>
    <r>
      <rPr>
        <sz val="10"/>
        <color theme="1"/>
        <rFont val="Courier New"/>
        <family val="3"/>
      </rPr>
      <t>inventory.py</t>
    </r>
    <r>
      <rPr>
        <sz val="12"/>
        <color theme="1"/>
        <rFont val="Times New Roman"/>
        <family val="1"/>
      </rPr>
      <t xml:space="preserve">, </t>
    </r>
    <r>
      <rPr>
        <sz val="10"/>
        <color theme="1"/>
        <rFont val="Courier New"/>
        <family val="3"/>
      </rPr>
      <t>wfa.py</t>
    </r>
    <r>
      <rPr>
        <sz val="12"/>
        <color theme="1"/>
        <rFont val="Times New Roman"/>
        <family val="1"/>
      </rPr>
      <t xml:space="preserve">, </t>
    </r>
    <r>
      <rPr>
        <sz val="10"/>
        <color theme="1"/>
        <rFont val="Courier New"/>
        <family val="3"/>
      </rPr>
      <t>regime.py</t>
    </r>
    <r>
      <rPr>
        <sz val="12"/>
        <color theme="1"/>
        <rFont val="Times New Roman"/>
        <family val="1"/>
      </rPr>
      <t xml:space="preserve">, </t>
    </r>
    <r>
      <rPr>
        <sz val="10"/>
        <color theme="1"/>
        <rFont val="Courier New"/>
        <family val="3"/>
      </rPr>
      <t>scoring.py</t>
    </r>
  </si>
  <si>
    <t>Queue model, AS model, 4-method majority vote, 5-pillar scoring</t>
  </si>
  <si>
    <t>6 — Metrics</t>
  </si>
  <si>
    <r>
      <t>reporter.py</t>
    </r>
    <r>
      <rPr>
        <sz val="12"/>
        <color theme="1"/>
        <rFont val="Times New Roman"/>
        <family val="1"/>
      </rPr>
      <t xml:space="preserve">, </t>
    </r>
    <r>
      <rPr>
        <sz val="10"/>
        <color theme="1"/>
        <rFont val="Courier New"/>
        <family val="3"/>
      </rPr>
      <t>main.py</t>
    </r>
  </si>
  <si>
    <t>Batch psycopg3 writes, full orchestration loop</t>
  </si>
  <si>
    <t>7 — Claude Agent</t>
  </si>
  <si>
    <r>
      <t>agent.py</t>
    </r>
    <r>
      <rPr>
        <sz val="12"/>
        <color theme="1"/>
        <rFont val="Times New Roman"/>
        <family val="1"/>
      </rPr>
      <t xml:space="preserve">, </t>
    </r>
    <r>
      <rPr>
        <sz val="10"/>
        <color theme="1"/>
        <rFont val="Courier New"/>
        <family val="3"/>
      </rPr>
      <t>git_manager.py</t>
    </r>
    <r>
      <rPr>
        <sz val="12"/>
        <color theme="1"/>
        <rFont val="Times New Roman"/>
        <family val="1"/>
      </rPr>
      <t xml:space="preserve">, </t>
    </r>
    <r>
      <rPr>
        <sz val="10"/>
        <color theme="1"/>
        <rFont val="Courier New"/>
        <family val="3"/>
      </rPr>
      <t>notifier.py</t>
    </r>
  </si>
  <si>
    <t>Claude API → improve → commit branch → notify</t>
  </si>
  <si>
    <t>8 — Jenkins</t>
  </si>
  <si>
    <t>Jenkinsfile</t>
  </si>
  <si>
    <t>11-gate validation, iteration limit, paper promotion</t>
  </si>
  <si>
    <t>9 — React</t>
  </si>
  <si>
    <r>
      <t>App.jsx</t>
    </r>
    <r>
      <rPr>
        <sz val="12"/>
        <color theme="1"/>
        <rFont val="Times New Roman"/>
        <family val="1"/>
      </rPr>
      <t xml:space="preserve"> + 13 components</t>
    </r>
  </si>
  <si>
    <t>Dark terminal UI, all 13 panels, WebSocket live feed</t>
  </si>
  <si>
    <t>10 — Deploy</t>
  </si>
  <si>
    <r>
      <t>nginx.conf</t>
    </r>
    <r>
      <rPr>
        <sz val="12"/>
        <color theme="1"/>
        <rFont val="Times New Roman"/>
        <family val="1"/>
      </rPr>
      <t xml:space="preserve">, </t>
    </r>
    <r>
      <rPr>
        <sz val="10"/>
        <color theme="1"/>
        <rFont val="Courier New"/>
        <family val="3"/>
      </rPr>
      <t>start.sh</t>
    </r>
    <r>
      <rPr>
        <sz val="12"/>
        <color theme="1"/>
        <rFont val="Times New Roman"/>
        <family val="1"/>
      </rPr>
      <t xml:space="preserve">, </t>
    </r>
    <r>
      <rPr>
        <sz val="10"/>
        <color theme="1"/>
        <rFont val="Courier New"/>
        <family val="3"/>
      </rPr>
      <t>stop.sh</t>
    </r>
  </si>
  <si>
    <r>
      <t xml:space="preserve">Single </t>
    </r>
    <r>
      <rPr>
        <sz val="10"/>
        <color theme="1"/>
        <rFont val="Courier New"/>
        <family val="3"/>
      </rPr>
      <t>./scripts/start.sh</t>
    </r>
    <r>
      <rPr>
        <sz val="12"/>
        <color theme="1"/>
        <rFont val="Times New Roman"/>
        <family val="1"/>
      </rPr>
      <t xml:space="preserve"> launches everything</t>
    </r>
  </si>
  <si>
    <r>
      <t>SITARAM HFT</t>
    </r>
    <r>
      <rPr>
        <sz val="12"/>
        <color theme="1"/>
        <rFont val="Times New Roman"/>
        <family val="1"/>
      </rPr>
      <t xml:space="preserve"> is a fully automated, institutional-grade market making platform for BTC/USDT spot trading on Bybit, built to run entirely on a personal laptop via Docker.</t>
    </r>
  </si>
  <si>
    <r>
      <t>1. Data Pipeline</t>
    </r>
    <r>
      <rPr>
        <sz val="12"/>
        <color theme="1"/>
        <rFont val="Times New Roman"/>
        <family val="1"/>
      </rPr>
      <t xml:space="preserve"> The platform ingests real Binance historical order book data (200 price levels, NDJSON format) and public trade data (CSV) from a local drive. A Kafka producer streams this data at maximum playback speed into two Kafka topics — </t>
    </r>
    <r>
      <rPr>
        <sz val="10"/>
        <color theme="1"/>
        <rFont val="Courier New"/>
        <family val="3"/>
      </rPr>
      <t>ob200-raw</t>
    </r>
    <r>
      <rPr>
        <sz val="12"/>
        <color theme="1"/>
        <rFont val="Times New Roman"/>
        <family val="1"/>
      </rPr>
      <t xml:space="preserve"> and </t>
    </r>
    <r>
      <rPr>
        <sz val="10"/>
        <color theme="1"/>
        <rFont val="Courier New"/>
        <family val="3"/>
      </rPr>
      <t>trades-raw</t>
    </r>
    <r>
      <rPr>
        <sz val="12"/>
        <color theme="1"/>
        <rFont val="Times New Roman"/>
        <family val="1"/>
      </rPr>
      <t xml:space="preserve"> — simulating a live market feed. This allows the strategy to be developed, tested, and validated against real market microstructure before any live capital is deployed.</t>
    </r>
  </si>
  <si>
    <r>
      <t>2. Signal Generation &amp; Strategy</t>
    </r>
    <r>
      <rPr>
        <sz val="12"/>
        <color theme="1"/>
        <rFont val="Times New Roman"/>
        <family val="1"/>
      </rPr>
      <t xml:space="preserve"> A Python engine consumes the Kafka feed and reconstructs the full L2 order book in real time. From this it computes microstructure signals — Order Book Imbalance, microprice, realised volatility, and trade flow imbalance — which feed into an Avellaneda-Stoikov market making model. The model continuously calculates an optimal bid/ask spread and reservation price, adjusted for current inventory risk.</t>
    </r>
  </si>
  <si>
    <r>
      <t>3. Validation Before Any Trading</t>
    </r>
    <r>
      <rPr>
        <sz val="12"/>
        <color theme="1"/>
        <rFont val="Times New Roman"/>
        <family val="1"/>
      </rPr>
      <t xml:space="preserve"> Nothing proceeds to live execution without passing 11 automated Jenkins validation gates. These include Information Coefficient above 0.02, Sharpe ratio above 1.5, maximum drawdown below 5%, fill rate above 60%, and fee-adjusted P&amp;L positivity, among others. Approval is written as a 30-minute expiring Redis flag, meaning validation must pass continuously — not just once — before trading is permitted.</t>
    </r>
  </si>
  <si>
    <r>
      <t>4. AI Intelligence Layer</t>
    </r>
    <r>
      <rPr>
        <sz val="12"/>
        <color theme="1"/>
        <rFont val="Times New Roman"/>
        <family val="1"/>
      </rPr>
      <t xml:space="preserve"> A Claude AI agent runs four parallel monitoring threads covering IC, inventory, P&amp;L/drawdown, and pipeline health. It reads results from TimescaleDB, calls the Anthropic API to generate analysis, and dispatches alerts via WebSocket to the React dashboard, Redis pub/sub for desktop notifications, and persistent storage. The agent monitors and reports only — it has no authority to stop or modify trading automatically.</t>
    </r>
  </si>
  <si>
    <r>
      <t>5. Infrastructure &amp; Operator Interface</t>
    </r>
    <r>
      <rPr>
        <sz val="12"/>
        <color theme="1"/>
        <rFont val="Times New Roman"/>
        <family val="1"/>
      </rPr>
      <t xml:space="preserve"> The entire platform — Kafka, Zookeeper, Redis, TimescaleDB, Jenkins, the Python engine, the Claude agent, and the React dashboard — runs from a single </t>
    </r>
    <r>
      <rPr>
        <sz val="10"/>
        <color theme="1"/>
        <rFont val="Courier New"/>
        <family val="3"/>
      </rPr>
      <t>docker compose up</t>
    </r>
    <r>
      <rPr>
        <sz val="12"/>
        <color theme="1"/>
        <rFont val="Times New Roman"/>
        <family val="1"/>
      </rPr>
      <t xml:space="preserve"> command on Windows 11 with Docker Desktop and WSL2. The React dashboard provides a real-time dark-themed operator view across six panels: P&amp;L, bid/ask spread, Information Coefficient, inventory, fill rate, and service health. Jenkins serves as the conductor, enforcing startup sequencing and validation gates before any component proceeds to execution.</t>
    </r>
  </si>
  <si>
    <r>
      <t xml:space="preserve">Summary — The Full Metric Set for </t>
    </r>
    <r>
      <rPr>
        <b/>
        <u/>
        <sz val="13.5"/>
        <color theme="1"/>
        <rFont val="Times New Roman"/>
        <family val="1"/>
      </rPr>
      <t>Tamara</t>
    </r>
  </si>
  <si>
    <t>Category</t>
  </si>
  <si>
    <t>Metric</t>
  </si>
  <si>
    <t>Tamara's Threshold</t>
  </si>
  <si>
    <t>Return</t>
  </si>
  <si>
    <t>Sharpe (annualized)</t>
  </si>
  <si>
    <t>≥ 3.0</t>
  </si>
  <si>
    <t>Sortino</t>
  </si>
  <si>
    <t>Report it</t>
  </si>
  <si>
    <t>Calmar</t>
  </si>
  <si>
    <t>APY post-leverage</t>
  </si>
  <si>
    <t>Risk</t>
  </si>
  <si>
    <t>Max drawdown %</t>
  </si>
  <si>
    <t>&lt; 5%</t>
  </si>
  <si>
    <t>VaR 95% daily</t>
  </si>
  <si>
    <t>Drawdown duration</t>
  </si>
  <si>
    <t>Inventory mean reversion</t>
  </si>
  <si>
    <t>&gt; 70%</t>
  </si>
  <si>
    <t>Edge</t>
  </si>
  <si>
    <t>IC (rolling 3-day)</t>
  </si>
  <si>
    <t>&gt; 0.02</t>
  </si>
  <si>
    <t>IC stability (days)</t>
  </si>
  <si>
    <t>≥ 3 consecutive</t>
  </si>
  <si>
    <t>IC decay profile</t>
  </si>
  <si>
    <t>Adverse selection rate</t>
  </si>
  <si>
    <t>&lt; 30%</t>
  </si>
  <si>
    <t>Execution</t>
  </si>
  <si>
    <t>Fill rate</t>
  </si>
  <si>
    <t>40–70%</t>
  </si>
  <si>
    <t>Quote-to-trade ratio</t>
  </si>
  <si>
    <t>&lt; 10</t>
  </si>
  <si>
    <t>Maker vs taker ratio</t>
  </si>
  <si>
    <t>&gt; 90% maker</t>
  </si>
  <si>
    <t>Fee-adjusted PnL</t>
  </si>
  <si>
    <t>&gt; 0</t>
  </si>
  <si>
    <t>Tick-to-fill latency</t>
  </si>
  <si>
    <t>Capacity</t>
  </si>
  <si>
    <t>Max deployable capital</t>
  </si>
  <si>
    <t>Daily turnover USDT</t>
  </si>
  <si>
    <t>Market impact bps</t>
  </si>
  <si>
    <t>Regime sensitivity</t>
  </si>
  <si>
    <t>OOS Integrity</t>
  </si>
  <si>
    <t>IS vs OOS Sharpe degradation</t>
  </si>
  <si>
    <t>&lt; 30% drop</t>
  </si>
  <si>
    <t>Walk-forward consistency</t>
  </si>
  <si>
    <t>All windows IC &gt; 0.02</t>
  </si>
  <si>
    <t>That is the complete institutional validation framework. Every one of these metrics can be computed from your Binance order book and trades data once the backtester is running.</t>
  </si>
  <si>
    <t>The AS model is a sequential decision problem:</t>
  </si>
  <si>
    <r>
      <t>a)</t>
    </r>
    <r>
      <rPr>
        <sz val="7"/>
        <color theme="1"/>
        <rFont val="Times New Roman"/>
        <family val="1"/>
      </rPr>
      <t xml:space="preserve">      </t>
    </r>
    <r>
      <rPr>
        <sz val="12"/>
        <color theme="1"/>
        <rFont val="Times New Roman"/>
        <family val="1"/>
      </rPr>
      <t>State Phase:  inventory, volatility, OBI, spread, time-of-day</t>
    </r>
  </si>
  <si>
    <r>
      <t>b)</t>
    </r>
    <r>
      <rPr>
        <sz val="7"/>
        <color theme="1"/>
        <rFont val="Times New Roman"/>
        <family val="1"/>
      </rPr>
      <t xml:space="preserve">      </t>
    </r>
    <r>
      <rPr>
        <sz val="12"/>
        <color theme="1"/>
        <rFont val="Times New Roman"/>
        <family val="1"/>
      </rPr>
      <t>Action Phase: choose gamma, kappa (sigma is observed from market)</t>
    </r>
  </si>
  <si>
    <r>
      <t>c)</t>
    </r>
    <r>
      <rPr>
        <sz val="7"/>
        <color theme="1"/>
        <rFont val="Times New Roman"/>
        <family val="1"/>
      </rPr>
      <t xml:space="preserve">      </t>
    </r>
    <r>
      <rPr>
        <sz val="12"/>
        <color theme="1"/>
        <rFont val="Times New Roman"/>
        <family val="1"/>
      </rPr>
      <t>Reward Phase: fee-adjusted PnL - inventory_penalty - adverse_selection_penalty</t>
    </r>
  </si>
  <si>
    <t>In a typical setup, the RL process looks like this:</t>
  </si>
  <si>
    <r>
      <t>1.</t>
    </r>
    <r>
      <rPr>
        <sz val="7"/>
        <color theme="1"/>
        <rFont val="Times New Roman"/>
        <family val="1"/>
      </rPr>
      <t xml:space="preserve">      </t>
    </r>
    <r>
      <rPr>
        <b/>
        <sz val="12"/>
        <color theme="1"/>
        <rFont val="Times New Roman"/>
        <family val="1"/>
      </rPr>
      <t>The Policy ($\pi$):</t>
    </r>
    <r>
      <rPr>
        <sz val="12"/>
        <color theme="1"/>
        <rFont val="Times New Roman"/>
        <family val="1"/>
      </rPr>
      <t xml:space="preserve"> This is the agent's strategy. It is usually represented by a neural network with thousands (or millions) of </t>
    </r>
    <r>
      <rPr>
        <b/>
        <sz val="12"/>
        <color theme="1"/>
        <rFont val="Times New Roman"/>
        <family val="1"/>
      </rPr>
      <t>parameters</t>
    </r>
    <r>
      <rPr>
        <sz val="12"/>
        <color theme="1"/>
        <rFont val="Times New Roman"/>
        <family val="1"/>
      </rPr>
      <t xml:space="preserve"> (weights and biases).</t>
    </r>
  </si>
  <si>
    <r>
      <t>2.</t>
    </r>
    <r>
      <rPr>
        <sz val="7"/>
        <color theme="1"/>
        <rFont val="Times New Roman"/>
        <family val="1"/>
      </rPr>
      <t xml:space="preserve">      </t>
    </r>
    <r>
      <rPr>
        <b/>
        <sz val="12"/>
        <color theme="1"/>
        <rFont val="Times New Roman"/>
        <family val="1"/>
      </rPr>
      <t>The Objective:</t>
    </r>
    <r>
      <rPr>
        <sz val="12"/>
        <color theme="1"/>
        <rFont val="Times New Roman"/>
        <family val="1"/>
      </rPr>
      <t xml:space="preserve"> The agent wants to maximize the </t>
    </r>
    <r>
      <rPr>
        <b/>
        <sz val="12"/>
        <color theme="1"/>
        <rFont val="Times New Roman"/>
        <family val="1"/>
      </rPr>
      <t>cumulative reward</t>
    </r>
    <r>
      <rPr>
        <sz val="12"/>
        <color theme="1"/>
        <rFont val="Times New Roman"/>
        <family val="1"/>
      </rPr>
      <t>.</t>
    </r>
  </si>
  <si>
    <r>
      <t>3.</t>
    </r>
    <r>
      <rPr>
        <sz val="7"/>
        <color theme="1"/>
        <rFont val="Times New Roman"/>
        <family val="1"/>
      </rPr>
      <t xml:space="preserve">      </t>
    </r>
    <r>
      <rPr>
        <b/>
        <sz val="12"/>
        <color theme="1"/>
        <rFont val="Times New Roman"/>
        <family val="1"/>
      </rPr>
      <t>The Search:</t>
    </r>
    <r>
      <rPr>
        <sz val="12"/>
        <color theme="1"/>
        <rFont val="Times New Roman"/>
        <family val="1"/>
      </rPr>
      <t xml:space="preserve"> Using algorithms like Policy Gradients or Q-Learning, the agent tweaks those parameters. If an action leads to a win, the parameters that caused that action are "strengthened."</t>
    </r>
  </si>
  <si>
    <r>
      <t>4.</t>
    </r>
    <r>
      <rPr>
        <sz val="7"/>
        <color theme="1"/>
        <rFont val="Times New Roman"/>
        <family val="1"/>
      </rPr>
      <t xml:space="preserve">      </t>
    </r>
    <r>
      <rPr>
        <sz val="12"/>
        <color theme="1"/>
        <rFont val="Times New Roman"/>
        <family val="1"/>
      </rPr>
      <t>Depending on what you're building, "params" can refer to a few different things:</t>
    </r>
  </si>
  <si>
    <t>Type</t>
  </si>
  <si>
    <t>Architecture</t>
  </si>
  <si>
    <t>┌─────────────────────────────────────────────────┐</t>
  </si>
  <si>
    <t>│  OFFLINE TRAINING (Mar 01 — IS data only)                             │</t>
  </si>
  <si>
    <t>│                                                                                                            │</t>
  </si>
  <si>
    <t>│  Environment: replay OB ticks                                                      │</t>
  </si>
  <si>
    <t>│  State:  [inventory, vol, OBI, spread, t_norm]                            │</t>
  </si>
  <si>
    <t>│  Action: [gamma, kappa]  (continuous)                                       │</t>
  </si>
  <si>
    <t>│  Reward: PnL - λ·inventory² - adverse_sel                                  │</t>
  </si>
  <si>
    <t>│                                                                                                             │</t>
  </si>
  <si>
    <t>│  Algorithm: PPO (stable, continuous action)                              │</t>
  </si>
  <si>
    <t>│  Library:   stable-baselines3                                                           │</t>
  </si>
  <si>
    <r>
      <t>└──────────────────</t>
    </r>
    <r>
      <rPr>
        <sz val="12"/>
        <color theme="1"/>
        <rFont val="Arial"/>
        <family val="2"/>
      </rPr>
      <t>┬</t>
    </r>
    <r>
      <rPr>
        <sz val="12"/>
        <color theme="1"/>
        <rFont val="Calibri"/>
        <family val="2"/>
        <scheme val="minor"/>
      </rPr>
      <t>──────────────────────────────┘</t>
    </r>
  </si>
  <si>
    <t xml:space="preserve">                   │  trained policy saved</t>
  </si>
  <si>
    <t xml:space="preserve">                   ↓</t>
  </si>
  <si>
    <t>│  BACKTESTER (run_backtest.py)                                                   │</t>
  </si>
  <si>
    <t>│  Instead of fixed gamma/kappa from config.py                       │</t>
  </si>
  <si>
    <t>│  → policy.predict(state) → gamma, kappa                               │</t>
  </si>
  <si>
    <t>│  every tick                                                                                       │</t>
  </si>
  <si>
    <t xml:space="preserve">                   </t>
  </si>
  <si>
    <t xml:space="preserve">                                                           ↓</t>
  </si>
  <si>
    <t>│  JENKINS VALIDATION (unchanged)                                            │</t>
  </si>
  <si>
    <t>│  Tests policy on Mar 02 OOS — blind                                          │</t>
  </si>
  <si>
    <t>│  Never touches training data                                                         │</t>
  </si>
  <si>
    <t>└─────────────────────────────────────────────────┘</t>
  </si>
  <si>
    <t>State space (5 variables):</t>
  </si>
  <si>
    <t>Variable</t>
  </si>
  <si>
    <t>Action space (2 variables, continuous):</t>
  </si>
  <si>
    <t>Reward function:</t>
  </si>
  <si>
    <t>reward = pnl_this_tick</t>
  </si>
  <si>
    <t xml:space="preserve">       - lambda_inv  * inventory²        # penalize holding inventory</t>
  </si>
  <si>
    <t xml:space="preserve">       - lambda_adv  * adverse_selection  # penalize bad fills</t>
  </si>
  <si>
    <t xml:space="preserve">       - lambda_dd   * drawdown_excess    # penalize breaching 5% DD</t>
  </si>
  <si>
    <t>What RL learns that grid search cannot:</t>
  </si>
  <si>
    <t>Widen spreads at end of session (inventory risk grows as T→0)</t>
  </si>
  <si>
    <t>Tighten quotes when OBI strongly directional (high fill probability)</t>
  </si>
  <si>
    <t>Pull quotes when volatility spikes (adverse selection risk)</t>
  </si>
  <si>
    <t>Skew quotes asymmetrically when inventory is one-sided</t>
  </si>
  <si>
    <t># sigma feeds DIRECTLY into the AS formula</t>
  </si>
  <si>
    <t># RL does not touch it — it's always the realized market vol</t>
  </si>
  <si>
    <t>sigma = realized_vol          # observed from market, updated every tick</t>
  </si>
  <si>
    <t>gamma = policy.predict(state) # RL decides this</t>
  </si>
  <si>
    <t>kappa = policy.predict(state) # RL decides this</t>
  </si>
  <si>
    <t>bid, ask = AS_model(mid, inventory, sigma, gamma, kappa, t_norm)</t>
  </si>
  <si>
    <t>Summary:</t>
  </si>
  <si>
    <t>Parameter</t>
  </si>
  <si>
    <t>reward = pnl_this_tick                        # fee-adjusted mark-to-market</t>
  </si>
  <si>
    <t xml:space="preserve">       - λ_inv  × inventory²                  # penalize inventory buildup</t>
  </si>
  <si>
    <t xml:space="preserve">       - λ_adv  × adverse_selection_flag      # penalize getting picked off</t>
  </si>
  <si>
    <t xml:space="preserve">       - λ_dd   × max(0, drawdown - 0.05)     # penalize breaching 5% DD limit</t>
  </si>
  <si>
    <t># Tuned constants:</t>
  </si>
  <si>
    <t>λ_inv = 0.01    # mild inventory pressure</t>
  </si>
  <si>
    <t>λ_adv = 0.005   # adverse selection penalty per fill</t>
  </si>
  <si>
    <t>λ_dd  = 1.0     # hard penalty for DD breach</t>
  </si>
  <si>
    <t>```</t>
  </si>
  <si>
    <t>---</t>
  </si>
  <si>
    <t>### ALGORITHM: PPO</t>
  </si>
  <si>
    <t>**Why PPO and not DQN or SAC:**</t>
  </si>
  <si>
    <t>| Algorithm | Reason rejected |</t>
  </si>
  <si>
    <t>|---|---|</t>
  </si>
  <si>
    <t>| DQN | Discrete actions only — gamma/kappa are continuous |</t>
  </si>
  <si>
    <t>| SAC | Better sample efficiency but unstable on financial data |</t>
  </si>
  <si>
    <t>| DDPG | Sensitive to hyperparameters, brittle |</t>
  </si>
  <si>
    <r>
      <t xml:space="preserve">| **PPO** | </t>
    </r>
    <r>
      <rPr>
        <sz val="12"/>
        <color theme="1"/>
        <rFont val="Segoe UI Symbol"/>
        <family val="2"/>
      </rPr>
      <t>✅</t>
    </r>
    <r>
      <rPr>
        <sz val="12"/>
        <color theme="1"/>
        <rFont val="Calibri"/>
        <family val="2"/>
        <scheme val="minor"/>
      </rPr>
      <t xml:space="preserve"> Stable, continuous actions, works well with noisy rewards |</t>
    </r>
  </si>
  <si>
    <t>**Training setup:**</t>
  </si>
  <si>
    <t>Library:        stable-baselines3</t>
  </si>
  <si>
    <t>Policy:         MlpPolicy  (3 hidden layers × 64 units)</t>
  </si>
  <si>
    <t>Learning rate:  3e-4</t>
  </si>
  <si>
    <t>Timesteps:      ~430,000   (one full Mar 01 day at 200ms = 432,000 ticks)</t>
  </si>
  <si>
    <t>Episodes:       multiple passes through Mar 01 data</t>
  </si>
  <si>
    <t>Entropy coeff:  0.01       (encourages exploration of gamma/kappa space)</t>
  </si>
  <si>
    <t>### FILE STRUCTURE (after build)</t>
  </si>
  <si>
    <t>crypto_BTCUSDT/</t>
  </si>
  <si>
    <r>
      <t>├</t>
    </r>
    <r>
      <rPr>
        <sz val="12"/>
        <color theme="1"/>
        <rFont val="Calibri"/>
        <family val="2"/>
        <scheme val="minor"/>
      </rPr>
      <t>── run_backtest.py          ← backtest with fixed params (existing)</t>
    </r>
  </si>
  <si>
    <r>
      <t>├</t>
    </r>
    <r>
      <rPr>
        <sz val="12"/>
        <color theme="1"/>
        <rFont val="Calibri"/>
        <family val="2"/>
        <scheme val="minor"/>
      </rPr>
      <t>── run_rl_train.py          ← NEW: trains PPO policy on Mar 01</t>
    </r>
  </si>
  <si>
    <r>
      <t>├</t>
    </r>
    <r>
      <rPr>
        <sz val="12"/>
        <color theme="1"/>
        <rFont val="Calibri"/>
        <family val="2"/>
        <scheme val="minor"/>
      </rPr>
      <t>── run_rl_backtest.py       ← NEW: runs trained policy on Mar 01+02, generates reports</t>
    </r>
  </si>
  <si>
    <t>└── src/</t>
  </si>
  <si>
    <r>
      <t xml:space="preserve">    </t>
    </r>
    <r>
      <rPr>
        <sz val="12"/>
        <color theme="1"/>
        <rFont val="Arial"/>
        <family val="2"/>
      </rPr>
      <t>├</t>
    </r>
    <r>
      <rPr>
        <sz val="12"/>
        <color theme="1"/>
        <rFont val="Calibri"/>
        <family val="2"/>
        <scheme val="minor"/>
      </rPr>
      <t>── config.py            ← existing</t>
    </r>
  </si>
  <si>
    <r>
      <t xml:space="preserve">    </t>
    </r>
    <r>
      <rPr>
        <sz val="12"/>
        <color theme="1"/>
        <rFont val="Arial"/>
        <family val="2"/>
      </rPr>
      <t>├</t>
    </r>
    <r>
      <rPr>
        <sz val="12"/>
        <color theme="1"/>
        <rFont val="Calibri"/>
        <family val="2"/>
        <scheme val="minor"/>
      </rPr>
      <t>── orderbook.py         ← existing</t>
    </r>
  </si>
  <si>
    <r>
      <t xml:space="preserve">    </t>
    </r>
    <r>
      <rPr>
        <sz val="12"/>
        <color theme="1"/>
        <rFont val="Arial"/>
        <family val="2"/>
      </rPr>
      <t>├</t>
    </r>
    <r>
      <rPr>
        <sz val="12"/>
        <color theme="1"/>
        <rFont val="Calibri"/>
        <family val="2"/>
        <scheme val="minor"/>
      </rPr>
      <t>── metrics.py           ← existing</t>
    </r>
  </si>
  <si>
    <r>
      <t xml:space="preserve">    </t>
    </r>
    <r>
      <rPr>
        <sz val="12"/>
        <color theme="1"/>
        <rFont val="Arial"/>
        <family val="2"/>
      </rPr>
      <t>├</t>
    </r>
    <r>
      <rPr>
        <sz val="12"/>
        <color theme="1"/>
        <rFont val="Calibri"/>
        <family val="2"/>
        <scheme val="minor"/>
      </rPr>
      <t>── backtester.py        ← existing (used by fixed-param backtest)</t>
    </r>
  </si>
  <si>
    <r>
      <t xml:space="preserve">    </t>
    </r>
    <r>
      <rPr>
        <sz val="12"/>
        <color theme="1"/>
        <rFont val="Arial"/>
        <family val="2"/>
      </rPr>
      <t>├</t>
    </r>
    <r>
      <rPr>
        <sz val="12"/>
        <color theme="1"/>
        <rFont val="Calibri"/>
        <family val="2"/>
        <scheme val="minor"/>
      </rPr>
      <t>── rl_environment.py    ← NEW: Gym environment wrapping OB replay</t>
    </r>
  </si>
  <si>
    <r>
      <t xml:space="preserve">    </t>
    </r>
    <r>
      <rPr>
        <sz val="12"/>
        <color theme="1"/>
        <rFont val="Arial"/>
        <family val="2"/>
      </rPr>
      <t>├</t>
    </r>
    <r>
      <rPr>
        <sz val="12"/>
        <color theme="1"/>
        <rFont val="Calibri"/>
        <family val="2"/>
        <scheme val="minor"/>
      </rPr>
      <t>── rl_agent.py          ← NEW: PPO training loop + policy save/load</t>
    </r>
  </si>
  <si>
    <t xml:space="preserve">    └── rl_backtester.py     ← NEW: backtester that calls policy.predict() per tick</t>
  </si>
  <si>
    <t>### BUILD SEQUENCE</t>
  </si>
  <si>
    <t>Step 1: rl_environment.py   Gym env — state, action, reward, step(), reset()</t>
  </si>
  <si>
    <t>Step 2: rl_agent.py         PPO training loop, saves rl_policy.zip</t>
  </si>
  <si>
    <t>Step 3: rl_backtester.py    Loads policy, runs IS+OOS, produces fills</t>
  </si>
  <si>
    <t>Step 4: run_rl_train.py     Entry point: train</t>
  </si>
  <si>
    <t>Step 5: run_rl_backtest.py  Entry point: evaluate + generate reports</t>
  </si>
  <si>
    <t>3 Issues to be resolved:</t>
  </si>
  <si>
    <t>Problem 1 — Reward signal is not teaching anything</t>
  </si>
  <si>
    <t>Your reward is likely just raw P&amp;L or a trivial combination of P&amp;L + fill rate. With only 352 fills in 429K ticks, the signal is almost entirely zeros (no fills = no reward signal). The agent can't learn from silence. This causes the immediate gradient collapse after episode 1.</t>
  </si>
  <si>
    <t>Problem 2 — γ and κ bounds allow degenerate solutions</t>
  </si>
  <si>
    <t>The AS model has two trivially bad but locally "safe" corners: γ=0.01 means "ignore inventory, quote tight", κ=5 means "assume orders come instantly". Neither is catastrophically punished early in training, so the policy falls into this corner and gets stuck. You need soft penalties that push away from these corners.</t>
  </si>
  <si>
    <t>Problem 3 — No episode diversity (identical 429K ticks every episode)</t>
  </si>
  <si>
    <t>Every single episode replays the exact same data in the same order. The agent isn't generalising — it's memorising. Once it finds a locally stable (but terrible) policy, it has no incentive to change because it sees the same market state every time.</t>
  </si>
  <si>
    <r>
      <t xml:space="preserve">Based on everything we've built, your strategy is </t>
    </r>
    <r>
      <rPr>
        <b/>
        <sz val="12"/>
        <color theme="1"/>
        <rFont val="Times New Roman"/>
        <family val="1"/>
      </rPr>
      <t>Avellaneda-Stoikov (AS) Inventory-Aware Market Making</t>
    </r>
    <r>
      <rPr>
        <sz val="12"/>
        <color theme="1"/>
        <rFont val="Times New Roman"/>
        <family val="1"/>
      </rPr>
      <t xml:space="preserve"> with </t>
    </r>
    <r>
      <rPr>
        <b/>
        <sz val="12"/>
        <color theme="1"/>
        <rFont val="Times New Roman"/>
        <family val="1"/>
      </rPr>
      <t>Reinforcement Learning parameter adaptation</t>
    </r>
    <r>
      <rPr>
        <sz val="12"/>
        <color theme="1"/>
        <rFont val="Times New Roman"/>
        <family val="1"/>
      </rPr>
      <t>.</t>
    </r>
  </si>
  <si>
    <t>Here's the full breakdown:</t>
  </si>
  <si>
    <t>Core Strategy — Avellaneda-Stoikov Model</t>
  </si>
  <si>
    <t>The AS model is the academic gold standard for market making. It solves two questions simultaneously:</t>
  </si>
  <si>
    <t>Where to quote?</t>
  </si>
  <si>
    <t>reservation_price = mid - inventory × γ × σ² × (T - t)</t>
  </si>
  <si>
    <t>Instead of quoting symmetrically around mid, you skew your quotes based on inventory. Long too much BTC → push ask down to sell it off. Short too much → push bid up to buy it back.</t>
  </si>
  <si>
    <t>How wide to quote?</t>
  </si>
  <si>
    <t>half_spread = (γ × σ² × (T-t) / 2) + (1/γ) × ln(1 + γ/κ)</t>
  </si>
  <si>
    <t>Spread widens when volatility is high (more risk), narrows when order arrival rate κ is high (more competition).</t>
  </si>
  <si>
    <t>What RL Adds On Top</t>
  </si>
  <si>
    <t>The AS model has two parameters that are normally hand-tuned:</t>
  </si>
  <si>
    <r>
      <t xml:space="preserve">Your RL agent </t>
    </r>
    <r>
      <rPr>
        <b/>
        <sz val="11"/>
        <color theme="1"/>
        <rFont val="Calibri"/>
        <family val="2"/>
        <scheme val="minor"/>
      </rPr>
      <t>watches the live order book</t>
    </r>
    <r>
      <rPr>
        <sz val="11"/>
        <color theme="1"/>
        <rFont val="Calibri"/>
        <family val="2"/>
        <scheme val="minor"/>
      </rPr>
      <t xml:space="preserve"> (OBI, spread, depth, time-of-day) and </t>
    </r>
    <r>
      <rPr>
        <b/>
        <sz val="11"/>
        <color theme="1"/>
        <rFont val="Calibri"/>
        <family val="2"/>
        <scheme val="minor"/>
      </rPr>
      <t>dynamically adjusts γ and κ every 200ms</t>
    </r>
    <r>
      <rPr>
        <sz val="11"/>
        <color theme="1"/>
        <rFont val="Calibri"/>
        <family val="2"/>
        <scheme val="minor"/>
      </rPr>
      <t xml:space="preserve"> to adapt to current market microstructure. This is what makes it adaptive rather than static.</t>
    </r>
  </si>
  <si>
    <t>Signal Inputs (State Observation)</t>
  </si>
  <si>
    <t>The agent sees 8 features per tick:</t>
  </si>
  <si>
    <t>1. Normalised spread</t>
  </si>
  <si>
    <t>2. OBI top-3 (order book imbalance)</t>
  </si>
  <si>
    <t>3. OBI top-5</t>
  </si>
  <si>
    <t>4. Log bid/ask depth ratio</t>
  </si>
  <si>
    <t>5. Mid price change (momentum)</t>
  </si>
  <si>
    <t>6. Current inventory</t>
  </si>
  <si>
    <t>7. Inventory squared (risk non-linearity)</t>
  </si>
  <si>
    <t>8. Time of day</t>
  </si>
  <si>
    <t>Edge You're Trying to Capture</t>
  </si>
  <si>
    <t>Spread capture</t>
  </si>
  <si>
    <t>− Inventory risk</t>
  </si>
  <si>
    <t>− Adverse selection</t>
  </si>
  <si>
    <t>− Fees</t>
  </si>
  <si>
    <t>You make money by sitting on both sides of the book and collecting the spread. You lose money when you accumulate inventory in the wrong direction (price moves against you). The AS model + RL minimises that inventory risk dynamically.</t>
  </si>
  <si>
    <t>Target Holding Time</t>
  </si>
  <si>
    <r>
      <t>500ms – 2 seconds</t>
    </r>
    <r>
      <rPr>
        <sz val="12"/>
        <color theme="1"/>
        <rFont val="Times New Roman"/>
        <family val="1"/>
      </rPr>
      <t xml:space="preserve"> per position — not HFT in the nanosecond sense, but sub-second market making which is realistic given your network latency from Hyderabad to Bybit servers.</t>
    </r>
  </si>
  <si>
    <t>What Makes This Institutional Grade</t>
  </si>
  <si>
    <r>
      <t>IC validation gate</t>
    </r>
    <r>
      <rPr>
        <sz val="12"/>
        <color theme="1"/>
        <rFont val="Times New Roman"/>
        <family val="1"/>
      </rPr>
      <t xml:space="preserve"> — strategy only proceeds if features predict price moves with IC &gt; 0.02</t>
    </r>
  </si>
  <si>
    <r>
      <t>11 Jenkins validation gates</t>
    </r>
    <r>
      <rPr>
        <sz val="12"/>
        <color theme="1"/>
        <rFont val="Times New Roman"/>
        <family val="1"/>
      </rPr>
      <t xml:space="preserve"> — Sharpe &gt; 1.5, drawdown &lt; 5%, fill rate &gt; 60% etc.</t>
    </r>
  </si>
  <si>
    <r>
      <t>Inventory mean reversion</t>
    </r>
    <r>
      <rPr>
        <sz val="12"/>
        <color theme="1"/>
        <rFont val="Times New Roman"/>
        <family val="1"/>
      </rPr>
      <t xml:space="preserve"> — the AS skew actively unwinds positions rather than hoping for lucky fills</t>
    </r>
  </si>
  <si>
    <r>
      <t>Adaptive parameters</t>
    </r>
    <r>
      <rPr>
        <sz val="12"/>
        <color theme="1"/>
        <rFont val="Times New Roman"/>
        <family val="1"/>
      </rPr>
      <t xml:space="preserve"> — γ/κ change with market regime, not fixed forever</t>
    </r>
  </si>
  <si>
    <r>
      <t xml:space="preserve">In short: you're building a </t>
    </r>
    <r>
      <rPr>
        <b/>
        <sz val="12"/>
        <color theme="1"/>
        <rFont val="Times New Roman"/>
        <family val="1"/>
      </rPr>
      <t>self-tuning market making bot</t>
    </r>
    <r>
      <rPr>
        <sz val="12"/>
        <color theme="1"/>
        <rFont val="Times New Roman"/>
        <family val="1"/>
      </rPr>
      <t xml:space="preserve"> that learns when to be aggressive vs conservative based on real-time order book microstructure.</t>
    </r>
  </si>
  <si>
    <r>
      <t>Fix 1 — Critical</t>
    </r>
    <r>
      <rPr>
        <sz val="10.5"/>
        <color theme="1"/>
        <rFont val="Segoe UI"/>
        <family val="2"/>
      </rPr>
      <t>Replace microprice signal with OBI + trade flow imbalance</t>
    </r>
  </si>
  <si>
    <t>IC = 0.014 on Mar 02 means microprice alone has no edge on trending days. Add order flow imbalance from the trades CSV: compare buy volume vs sell volume in the last N ms. This signal works in both regimes — in trends it predicts continuation, in quiet markets it predicts mean reversion.</t>
  </si>
  <si>
    <t>signal = α × obi(5) + β × trade_flow_imbalance(last_500ms)</t>
  </si>
  <si>
    <t>trade_flow = (buy_vol - sell_vol) / (buy_vol + sell_vol)</t>
  </si>
  <si>
    <t>Expected impact: IC on OOS rises from 0.014 → 0.025+. This alone may flip OOS Sharpe positive.</t>
  </si>
  <si>
    <r>
      <t>Fix 2 — Critical</t>
    </r>
    <r>
      <rPr>
        <sz val="10.5"/>
        <color theme="1"/>
        <rFont val="Segoe UI"/>
        <family val="2"/>
      </rPr>
      <t>Fix the PnL accounting — IS max drawdown = 0.00% is wrong</t>
    </r>
  </si>
  <si>
    <t>IS max drawdown of exactly 0.00% with $120K profit is impossible in real market making. The drawdown calculation uses daily PnL buckets but IS only has 1 day → 1 bucket → no drawdown visible. Switch to 30-min buckets for single-day periods. This is hiding the true IS risk and inflating the IS Sharpe of 13.5.</t>
  </si>
  <si>
    <t>_pnl_series() already does 30-min bucketing for 1-day periods.</t>
  </si>
  <si>
    <t>Bug: IS has fills across the full day but Sortino = 0.0000</t>
  </si>
  <si>
    <t>→ means ALL 30-min buckets are profitable, no negative periods.</t>
  </si>
  <si>
    <t>This is statistically implausible — check cumulative PnL curve.</t>
  </si>
  <si>
    <t>Fixes misleading IS Sharpe. Real IS Sharpe likely 3–6, not 13.5.</t>
  </si>
  <si>
    <r>
      <t>Fix 3 — High</t>
    </r>
    <r>
      <rPr>
        <sz val="10.5"/>
        <color theme="1"/>
        <rFont val="Segoe UI"/>
        <family val="2"/>
      </rPr>
      <t>Add inventory skew to quotes — quote closer on the side that reduces inventory</t>
    </r>
  </si>
  <si>
    <t>Current AS model moves both bid and ask symmetrically. Instead, when long inventory, move the ask closer to mid (easier to sell) and move the bid further (harder to buy more). This is the core AS reservation price mechanism but it needs the skew to actually drive fills toward flat.</t>
  </si>
  <si>
    <t>res = mid - γ × σ² × (T-t) × inventory  ← already in AS model</t>
  </si>
  <si>
    <t>Problem: hs cap of 5 ticks is too tight — it kills the skew.</t>
  </si>
  <si>
    <t>Fix: remove the hs cap or raise it to 20 ticks.</t>
  </si>
  <si>
    <t>hs = min(hs, 20 * tick)  # was 5 * tick</t>
  </si>
  <si>
    <t>Inventory reversion will rise from 8% → 30%+. Reduces drawdown from inventory accumulation.</t>
  </si>
  <si>
    <r>
      <t>Fix 4 — High</t>
    </r>
    <r>
      <rPr>
        <sz val="10.5"/>
        <color theme="1"/>
        <rFont val="Segoe UI"/>
        <family val="2"/>
      </rPr>
      <t>Use asymmetric regime filter — pause only the losing side</t>
    </r>
  </si>
  <si>
    <t>Current filter pauses all quoting in high-vol. But in a downtrend, bids are adversely selected while asks are profitable (you're selling into weakness). Instead of pausing both sides, detect trend direction and pause only the adversely selected side.</t>
  </si>
  <si>
    <t>trend = mid_hist[-1] - mid_hist[-vol_window]</t>
  </si>
  <si>
    <t>if in_high_vol and trend &lt; 0:   # downtrend</t>
  </si>
  <si>
    <t xml:space="preserve">    skip_bid = True   # don't buy into falling market</t>
  </si>
  <si>
    <t xml:space="preserve">if in_high_vol and trend &gt; 0:   # uptrend  </t>
  </si>
  <si>
    <t xml:space="preserve">    skip_ask = True   # don't sell into rising market</t>
  </si>
  <si>
    <t>Keeps ~50% of high-vol fills (the profitable side) instead of skipping 100%.</t>
  </si>
  <si>
    <r>
      <t>Fix 5 — Medium</t>
    </r>
    <r>
      <rPr>
        <sz val="10.5"/>
        <color theme="1"/>
        <rFont val="Segoe UI"/>
        <family val="2"/>
      </rPr>
      <t>Add more data days — 2 days is not enough for stable OOS validation</t>
    </r>
  </si>
  <si>
    <t>With only 2 days, IS = 1 day and OOS = 1 day. If those 2 days have different regimes (quiet vs trending), the strategy will always look like it overfits. You need at minimum 10 days — 7 IS, 3 OOS — to get a statistically meaningful Sharpe estimate. Download Mar 01–14 from Binance.</t>
  </si>
  <si>
    <t>More days → more robust Sharpe estimate → regime diversity in both IS and OOS.</t>
  </si>
  <si>
    <r>
      <t xml:space="preserve">tr </t>
    </r>
    <r>
      <rPr>
        <sz val="11"/>
        <color rgb="FFEAECF0"/>
        <rFont val="Calibri"/>
        <family val="2"/>
        <scheme val="minor"/>
      </rPr>
      <t>=</t>
    </r>
    <r>
      <rPr>
        <sz val="11"/>
        <color theme="1"/>
        <rFont val="Calibri"/>
        <family val="2"/>
        <scheme val="minor"/>
      </rPr>
      <t xml:space="preserve"> </t>
    </r>
    <r>
      <rPr>
        <sz val="11"/>
        <color rgb="FFFBAD60"/>
        <rFont val="Calibri"/>
        <family val="2"/>
        <scheme val="minor"/>
      </rPr>
      <t>max</t>
    </r>
    <r>
      <rPr>
        <sz val="11"/>
        <color rgb="FFD3D7DE"/>
        <rFont val="Calibri"/>
        <family val="2"/>
        <scheme val="minor"/>
      </rPr>
      <t>(</t>
    </r>
    <r>
      <rPr>
        <sz val="11"/>
        <color theme="1"/>
        <rFont val="Calibri"/>
        <family val="2"/>
        <scheme val="minor"/>
      </rPr>
      <t>self</t>
    </r>
    <r>
      <rPr>
        <sz val="11"/>
        <color rgb="FFD3D7DE"/>
        <rFont val="Calibri"/>
        <family val="2"/>
        <scheme val="minor"/>
      </rPr>
      <t>.</t>
    </r>
    <r>
      <rPr>
        <sz val="11"/>
        <color theme="1"/>
        <rFont val="Calibri"/>
        <family val="2"/>
        <scheme val="minor"/>
      </rPr>
      <t xml:space="preserve">T </t>
    </r>
    <r>
      <rPr>
        <sz val="11"/>
        <color rgb="FFEAECF0"/>
        <rFont val="Calibri"/>
        <family val="2"/>
        <scheme val="minor"/>
      </rPr>
      <t>-</t>
    </r>
    <r>
      <rPr>
        <sz val="11"/>
        <color theme="1"/>
        <rFont val="Calibri"/>
        <family val="2"/>
        <scheme val="minor"/>
      </rPr>
      <t xml:space="preserve"> t_norm</t>
    </r>
    <r>
      <rPr>
        <sz val="11"/>
        <color rgb="FFD3D7DE"/>
        <rFont val="Calibri"/>
        <family val="2"/>
        <scheme val="minor"/>
      </rPr>
      <t>,</t>
    </r>
    <r>
      <rPr>
        <sz val="11"/>
        <color theme="1"/>
        <rFont val="Calibri"/>
        <family val="2"/>
        <scheme val="minor"/>
      </rPr>
      <t xml:space="preserve"> </t>
    </r>
    <r>
      <rPr>
        <sz val="11"/>
        <color rgb="FF5EEDED"/>
        <rFont val="Calibri"/>
        <family val="2"/>
        <scheme val="minor"/>
      </rPr>
      <t>1e-4</t>
    </r>
    <r>
      <rPr>
        <sz val="11"/>
        <color rgb="FFD3D7DE"/>
        <rFont val="Calibri"/>
        <family val="2"/>
        <scheme val="minor"/>
      </rPr>
      <t>)</t>
    </r>
    <r>
      <rPr>
        <sz val="11"/>
        <color theme="1"/>
        <rFont val="Calibri"/>
        <family val="2"/>
        <scheme val="minor"/>
      </rPr>
      <t xml:space="preserve"> inv_norm </t>
    </r>
    <r>
      <rPr>
        <sz val="11"/>
        <color rgb="FFEAECF0"/>
        <rFont val="Calibri"/>
        <family val="2"/>
        <scheme val="minor"/>
      </rPr>
      <t>=</t>
    </r>
    <r>
      <rPr>
        <sz val="11"/>
        <color theme="1"/>
        <rFont val="Calibri"/>
        <family val="2"/>
        <scheme val="minor"/>
      </rPr>
      <t xml:space="preserve"> inventory </t>
    </r>
    <r>
      <rPr>
        <sz val="11"/>
        <color rgb="FFEAECF0"/>
        <rFont val="Calibri"/>
        <family val="2"/>
        <scheme val="minor"/>
      </rPr>
      <t>/</t>
    </r>
    <r>
      <rPr>
        <sz val="11"/>
        <color theme="1"/>
        <rFont val="Calibri"/>
        <family val="2"/>
        <scheme val="minor"/>
      </rPr>
      <t xml:space="preserve"> </t>
    </r>
    <r>
      <rPr>
        <sz val="11"/>
        <color rgb="FFFBAD60"/>
        <rFont val="Calibri"/>
        <family val="2"/>
        <scheme val="minor"/>
      </rPr>
      <t>max</t>
    </r>
    <r>
      <rPr>
        <sz val="11"/>
        <color rgb="FFD3D7DE"/>
        <rFont val="Calibri"/>
        <family val="2"/>
        <scheme val="minor"/>
      </rPr>
      <t>(</t>
    </r>
    <r>
      <rPr>
        <sz val="11"/>
        <color theme="1"/>
        <rFont val="Calibri"/>
        <family val="2"/>
        <scheme val="minor"/>
      </rPr>
      <t>self</t>
    </r>
    <r>
      <rPr>
        <sz val="11"/>
        <color rgb="FFD3D7DE"/>
        <rFont val="Calibri"/>
        <family val="2"/>
        <scheme val="minor"/>
      </rPr>
      <t>.</t>
    </r>
    <r>
      <rPr>
        <sz val="11"/>
        <color theme="1"/>
        <rFont val="Calibri"/>
        <family val="2"/>
        <scheme val="minor"/>
      </rPr>
      <t>max_inventory</t>
    </r>
    <r>
      <rPr>
        <sz val="11"/>
        <color rgb="FFD3D7DE"/>
        <rFont val="Calibri"/>
        <family val="2"/>
        <scheme val="minor"/>
      </rPr>
      <t>,</t>
    </r>
    <r>
      <rPr>
        <sz val="11"/>
        <color theme="1"/>
        <rFont val="Calibri"/>
        <family val="2"/>
        <scheme val="minor"/>
      </rPr>
      <t xml:space="preserve"> </t>
    </r>
    <r>
      <rPr>
        <sz val="11"/>
        <color rgb="FF5EEDED"/>
        <rFont val="Calibri"/>
        <family val="2"/>
        <scheme val="minor"/>
      </rPr>
      <t>1e-8</t>
    </r>
    <r>
      <rPr>
        <sz val="11"/>
        <color rgb="FFD3D7DE"/>
        <rFont val="Calibri"/>
        <family val="2"/>
        <scheme val="minor"/>
      </rPr>
      <t>)</t>
    </r>
    <r>
      <rPr>
        <sz val="11"/>
        <color theme="1"/>
        <rFont val="Calibri"/>
        <family val="2"/>
        <scheme val="minor"/>
      </rPr>
      <t xml:space="preserve"> skew </t>
    </r>
    <r>
      <rPr>
        <sz val="11"/>
        <color rgb="FFEAECF0"/>
        <rFont val="Calibri"/>
        <family val="2"/>
        <scheme val="minor"/>
      </rPr>
      <t>=</t>
    </r>
    <r>
      <rPr>
        <sz val="11"/>
        <color theme="1"/>
        <rFont val="Calibri"/>
        <family val="2"/>
        <scheme val="minor"/>
      </rPr>
      <t xml:space="preserve"> self</t>
    </r>
    <r>
      <rPr>
        <sz val="11"/>
        <color rgb="FFD3D7DE"/>
        <rFont val="Calibri"/>
        <family val="2"/>
        <scheme val="minor"/>
      </rPr>
      <t>.</t>
    </r>
    <r>
      <rPr>
        <sz val="11"/>
        <color theme="1"/>
        <rFont val="Calibri"/>
        <family val="2"/>
        <scheme val="minor"/>
      </rPr>
      <t xml:space="preserve">gamma </t>
    </r>
    <r>
      <rPr>
        <sz val="11"/>
        <color rgb="FFEAECF0"/>
        <rFont val="Calibri"/>
        <family val="2"/>
        <scheme val="minor"/>
      </rPr>
      <t>*</t>
    </r>
    <r>
      <rPr>
        <sz val="11"/>
        <color theme="1"/>
        <rFont val="Calibri"/>
        <family val="2"/>
        <scheme val="minor"/>
      </rPr>
      <t xml:space="preserve"> </t>
    </r>
    <r>
      <rPr>
        <sz val="11"/>
        <color rgb="FFD3D7DE"/>
        <rFont val="Calibri"/>
        <family val="2"/>
        <scheme val="minor"/>
      </rPr>
      <t>(</t>
    </r>
    <r>
      <rPr>
        <sz val="11"/>
        <color theme="1"/>
        <rFont val="Calibri"/>
        <family val="2"/>
        <scheme val="minor"/>
      </rPr>
      <t>self</t>
    </r>
    <r>
      <rPr>
        <sz val="11"/>
        <color rgb="FFD3D7DE"/>
        <rFont val="Calibri"/>
        <family val="2"/>
        <scheme val="minor"/>
      </rPr>
      <t>.</t>
    </r>
    <r>
      <rPr>
        <sz val="11"/>
        <color theme="1"/>
        <rFont val="Calibri"/>
        <family val="2"/>
        <scheme val="minor"/>
      </rPr>
      <t xml:space="preserve">sigma </t>
    </r>
    <r>
      <rPr>
        <sz val="11"/>
        <color rgb="FFEAECF0"/>
        <rFont val="Calibri"/>
        <family val="2"/>
        <scheme val="minor"/>
      </rPr>
      <t>**</t>
    </r>
    <r>
      <rPr>
        <sz val="11"/>
        <color theme="1"/>
        <rFont val="Calibri"/>
        <family val="2"/>
        <scheme val="minor"/>
      </rPr>
      <t xml:space="preserve"> </t>
    </r>
    <r>
      <rPr>
        <sz val="11"/>
        <color rgb="FF5EEDED"/>
        <rFont val="Calibri"/>
        <family val="2"/>
        <scheme val="minor"/>
      </rPr>
      <t>2</t>
    </r>
    <r>
      <rPr>
        <sz val="11"/>
        <color rgb="FFD3D7DE"/>
        <rFont val="Calibri"/>
        <family val="2"/>
        <scheme val="minor"/>
      </rPr>
      <t>)</t>
    </r>
    <r>
      <rPr>
        <sz val="11"/>
        <color theme="1"/>
        <rFont val="Calibri"/>
        <family val="2"/>
        <scheme val="minor"/>
      </rPr>
      <t xml:space="preserve"> </t>
    </r>
    <r>
      <rPr>
        <sz val="11"/>
        <color rgb="FFEAECF0"/>
        <rFont val="Calibri"/>
        <family val="2"/>
        <scheme val="minor"/>
      </rPr>
      <t>*</t>
    </r>
    <r>
      <rPr>
        <sz val="11"/>
        <color theme="1"/>
        <rFont val="Calibri"/>
        <family val="2"/>
        <scheme val="minor"/>
      </rPr>
      <t xml:space="preserve"> tr </t>
    </r>
    <r>
      <rPr>
        <sz val="11"/>
        <color rgb="FFEAECF0"/>
        <rFont val="Calibri"/>
        <family val="2"/>
        <scheme val="minor"/>
      </rPr>
      <t>*</t>
    </r>
    <r>
      <rPr>
        <sz val="11"/>
        <color theme="1"/>
        <rFont val="Calibri"/>
        <family val="2"/>
        <scheme val="minor"/>
      </rPr>
      <t xml:space="preserve"> inv_norm res </t>
    </r>
    <r>
      <rPr>
        <sz val="11"/>
        <color rgb="FFEAECF0"/>
        <rFont val="Calibri"/>
        <family val="2"/>
        <scheme val="minor"/>
      </rPr>
      <t>=</t>
    </r>
    <r>
      <rPr>
        <sz val="11"/>
        <color theme="1"/>
        <rFont val="Calibri"/>
        <family val="2"/>
        <scheme val="minor"/>
      </rPr>
      <t xml:space="preserve"> mid </t>
    </r>
    <r>
      <rPr>
        <sz val="11"/>
        <color rgb="FFEAECF0"/>
        <rFont val="Calibri"/>
        <family val="2"/>
        <scheme val="minor"/>
      </rPr>
      <t>-</t>
    </r>
    <r>
      <rPr>
        <sz val="11"/>
        <color theme="1"/>
        <rFont val="Calibri"/>
        <family val="2"/>
        <scheme val="minor"/>
      </rPr>
      <t xml:space="preserve"> skew inv_risk </t>
    </r>
    <r>
      <rPr>
        <sz val="11"/>
        <color rgb="FFEAECF0"/>
        <rFont val="Calibri"/>
        <family val="2"/>
        <scheme val="minor"/>
      </rPr>
      <t>=</t>
    </r>
    <r>
      <rPr>
        <sz val="11"/>
        <color theme="1"/>
        <rFont val="Calibri"/>
        <family val="2"/>
        <scheme val="minor"/>
      </rPr>
      <t xml:space="preserve"> self</t>
    </r>
    <r>
      <rPr>
        <sz val="11"/>
        <color rgb="FFD3D7DE"/>
        <rFont val="Calibri"/>
        <family val="2"/>
        <scheme val="minor"/>
      </rPr>
      <t>.</t>
    </r>
    <r>
      <rPr>
        <sz val="11"/>
        <color theme="1"/>
        <rFont val="Calibri"/>
        <family val="2"/>
        <scheme val="minor"/>
      </rPr>
      <t xml:space="preserve">gamma </t>
    </r>
    <r>
      <rPr>
        <sz val="11"/>
        <color rgb="FFEAECF0"/>
        <rFont val="Calibri"/>
        <family val="2"/>
        <scheme val="minor"/>
      </rPr>
      <t>*</t>
    </r>
    <r>
      <rPr>
        <sz val="11"/>
        <color theme="1"/>
        <rFont val="Calibri"/>
        <family val="2"/>
        <scheme val="minor"/>
      </rPr>
      <t xml:space="preserve"> </t>
    </r>
    <r>
      <rPr>
        <sz val="11"/>
        <color rgb="FFD3D7DE"/>
        <rFont val="Calibri"/>
        <family val="2"/>
        <scheme val="minor"/>
      </rPr>
      <t>(</t>
    </r>
    <r>
      <rPr>
        <sz val="11"/>
        <color theme="1"/>
        <rFont val="Calibri"/>
        <family val="2"/>
        <scheme val="minor"/>
      </rPr>
      <t>self</t>
    </r>
    <r>
      <rPr>
        <sz val="11"/>
        <color rgb="FFD3D7DE"/>
        <rFont val="Calibri"/>
        <family val="2"/>
        <scheme val="minor"/>
      </rPr>
      <t>.</t>
    </r>
    <r>
      <rPr>
        <sz val="11"/>
        <color theme="1"/>
        <rFont val="Calibri"/>
        <family val="2"/>
        <scheme val="minor"/>
      </rPr>
      <t xml:space="preserve">sigma </t>
    </r>
    <r>
      <rPr>
        <sz val="11"/>
        <color rgb="FFEAECF0"/>
        <rFont val="Calibri"/>
        <family val="2"/>
        <scheme val="minor"/>
      </rPr>
      <t>**</t>
    </r>
    <r>
      <rPr>
        <sz val="11"/>
        <color theme="1"/>
        <rFont val="Calibri"/>
        <family val="2"/>
        <scheme val="minor"/>
      </rPr>
      <t xml:space="preserve"> </t>
    </r>
    <r>
      <rPr>
        <sz val="11"/>
        <color rgb="FF5EEDED"/>
        <rFont val="Calibri"/>
        <family val="2"/>
        <scheme val="minor"/>
      </rPr>
      <t>2</t>
    </r>
    <r>
      <rPr>
        <sz val="11"/>
        <color rgb="FFD3D7DE"/>
        <rFont val="Calibri"/>
        <family val="2"/>
        <scheme val="minor"/>
      </rPr>
      <t>)</t>
    </r>
    <r>
      <rPr>
        <sz val="11"/>
        <color theme="1"/>
        <rFont val="Calibri"/>
        <family val="2"/>
        <scheme val="minor"/>
      </rPr>
      <t xml:space="preserve"> </t>
    </r>
    <r>
      <rPr>
        <sz val="11"/>
        <color rgb="FFEAECF0"/>
        <rFont val="Calibri"/>
        <family val="2"/>
        <scheme val="minor"/>
      </rPr>
      <t>*</t>
    </r>
    <r>
      <rPr>
        <sz val="11"/>
        <color theme="1"/>
        <rFont val="Calibri"/>
        <family val="2"/>
        <scheme val="minor"/>
      </rPr>
      <t xml:space="preserve"> tr </t>
    </r>
    <r>
      <rPr>
        <sz val="11"/>
        <color rgb="FFEAECF0"/>
        <rFont val="Calibri"/>
        <family val="2"/>
        <scheme val="minor"/>
      </rPr>
      <t>*</t>
    </r>
    <r>
      <rPr>
        <sz val="11"/>
        <color theme="1"/>
        <rFont val="Calibri"/>
        <family val="2"/>
        <scheme val="minor"/>
      </rPr>
      <t xml:space="preserve"> </t>
    </r>
    <r>
      <rPr>
        <sz val="11"/>
        <color rgb="FFFBAD60"/>
        <rFont val="Calibri"/>
        <family val="2"/>
        <scheme val="minor"/>
      </rPr>
      <t>abs</t>
    </r>
    <r>
      <rPr>
        <sz val="11"/>
        <color rgb="FFD3D7DE"/>
        <rFont val="Calibri"/>
        <family val="2"/>
        <scheme val="minor"/>
      </rPr>
      <t>(</t>
    </r>
    <r>
      <rPr>
        <sz val="11"/>
        <color theme="1"/>
        <rFont val="Calibri"/>
        <family val="2"/>
        <scheme val="minor"/>
      </rPr>
      <t>inv_norm</t>
    </r>
    <r>
      <rPr>
        <sz val="11"/>
        <color rgb="FFD3D7DE"/>
        <rFont val="Calibri"/>
        <family val="2"/>
        <scheme val="minor"/>
      </rPr>
      <t>)</t>
    </r>
    <r>
      <rPr>
        <sz val="11"/>
        <color theme="1"/>
        <rFont val="Calibri"/>
        <family val="2"/>
        <scheme val="minor"/>
      </rPr>
      <t xml:space="preserve"> base_spread </t>
    </r>
    <r>
      <rPr>
        <sz val="11"/>
        <color rgb="FFEAECF0"/>
        <rFont val="Calibri"/>
        <family val="2"/>
        <scheme val="minor"/>
      </rPr>
      <t>=</t>
    </r>
    <r>
      <rPr>
        <sz val="11"/>
        <color theme="1"/>
        <rFont val="Calibri"/>
        <family val="2"/>
        <scheme val="minor"/>
      </rPr>
      <t xml:space="preserve"> </t>
    </r>
    <r>
      <rPr>
        <sz val="11"/>
        <color rgb="FF5EEDED"/>
        <rFont val="Calibri"/>
        <family val="2"/>
        <scheme val="minor"/>
      </rPr>
      <t>0.30</t>
    </r>
    <r>
      <rPr>
        <sz val="11"/>
        <color theme="1"/>
        <rFont val="Calibri"/>
        <family val="2"/>
        <scheme val="minor"/>
      </rPr>
      <t xml:space="preserve"> hs </t>
    </r>
    <r>
      <rPr>
        <sz val="11"/>
        <color rgb="FFEAECF0"/>
        <rFont val="Calibri"/>
        <family val="2"/>
        <scheme val="minor"/>
      </rPr>
      <t>=</t>
    </r>
    <r>
      <rPr>
        <sz val="11"/>
        <color theme="1"/>
        <rFont val="Calibri"/>
        <family val="2"/>
        <scheme val="minor"/>
      </rPr>
      <t xml:space="preserve"> </t>
    </r>
    <r>
      <rPr>
        <sz val="11"/>
        <color rgb="FFFBAD60"/>
        <rFont val="Calibri"/>
        <family val="2"/>
        <scheme val="minor"/>
      </rPr>
      <t>max</t>
    </r>
    <r>
      <rPr>
        <sz val="11"/>
        <color rgb="FFD3D7DE"/>
        <rFont val="Calibri"/>
        <family val="2"/>
        <scheme val="minor"/>
      </rPr>
      <t>(</t>
    </r>
    <r>
      <rPr>
        <sz val="11"/>
        <color rgb="FFFBAD60"/>
        <rFont val="Calibri"/>
        <family val="2"/>
        <scheme val="minor"/>
      </rPr>
      <t>min</t>
    </r>
    <r>
      <rPr>
        <sz val="11"/>
        <color rgb="FFD3D7DE"/>
        <rFont val="Calibri"/>
        <family val="2"/>
        <scheme val="minor"/>
      </rPr>
      <t>(</t>
    </r>
    <r>
      <rPr>
        <sz val="11"/>
        <color theme="1"/>
        <rFont val="Calibri"/>
        <family val="2"/>
        <scheme val="minor"/>
      </rPr>
      <t xml:space="preserve">base_spread </t>
    </r>
    <r>
      <rPr>
        <sz val="11"/>
        <color rgb="FFEAECF0"/>
        <rFont val="Calibri"/>
        <family val="2"/>
        <scheme val="minor"/>
      </rPr>
      <t>+</t>
    </r>
    <r>
      <rPr>
        <sz val="11"/>
        <color theme="1"/>
        <rFont val="Calibri"/>
        <family val="2"/>
        <scheme val="minor"/>
      </rPr>
      <t xml:space="preserve"> inv_risk</t>
    </r>
    <r>
      <rPr>
        <sz val="11"/>
        <color rgb="FFD3D7DE"/>
        <rFont val="Calibri"/>
        <family val="2"/>
        <scheme val="minor"/>
      </rPr>
      <t>,</t>
    </r>
    <r>
      <rPr>
        <sz val="11"/>
        <color theme="1"/>
        <rFont val="Calibri"/>
        <family val="2"/>
        <scheme val="minor"/>
      </rPr>
      <t xml:space="preserve"> </t>
    </r>
    <r>
      <rPr>
        <sz val="11"/>
        <color rgb="FF5EEDED"/>
        <rFont val="Calibri"/>
        <family val="2"/>
        <scheme val="minor"/>
      </rPr>
      <t>5.00</t>
    </r>
    <r>
      <rPr>
        <sz val="11"/>
        <color rgb="FFD3D7DE"/>
        <rFont val="Calibri"/>
        <family val="2"/>
        <scheme val="minor"/>
      </rPr>
      <t>),</t>
    </r>
    <r>
      <rPr>
        <sz val="11"/>
        <color theme="1"/>
        <rFont val="Calibri"/>
        <family val="2"/>
        <scheme val="minor"/>
      </rPr>
      <t xml:space="preserve"> </t>
    </r>
    <r>
      <rPr>
        <sz val="11"/>
        <color rgb="FF5EEDED"/>
        <rFont val="Calibri"/>
        <family val="2"/>
        <scheme val="minor"/>
      </rPr>
      <t>0.20</t>
    </r>
    <r>
      <rPr>
        <sz val="11"/>
        <color rgb="FFD3D7DE"/>
        <rFont val="Calibri"/>
        <family val="2"/>
        <scheme val="minor"/>
      </rPr>
      <t>)</t>
    </r>
    <r>
      <rPr>
        <sz val="11"/>
        <color theme="1"/>
        <rFont val="Calibri"/>
        <family val="2"/>
        <scheme val="minor"/>
      </rPr>
      <t xml:space="preserve"> </t>
    </r>
    <r>
      <rPr>
        <sz val="11"/>
        <color rgb="FFCC7BF4"/>
        <rFont val="Calibri"/>
        <family val="2"/>
        <scheme val="minor"/>
      </rPr>
      <t>return</t>
    </r>
    <r>
      <rPr>
        <sz val="11"/>
        <color theme="1"/>
        <rFont val="Calibri"/>
        <family val="2"/>
        <scheme val="minor"/>
      </rPr>
      <t xml:space="preserve"> res </t>
    </r>
    <r>
      <rPr>
        <sz val="11"/>
        <color rgb="FFEAECF0"/>
        <rFont val="Calibri"/>
        <family val="2"/>
        <scheme val="minor"/>
      </rPr>
      <t>-</t>
    </r>
    <r>
      <rPr>
        <sz val="11"/>
        <color theme="1"/>
        <rFont val="Calibri"/>
        <family val="2"/>
        <scheme val="minor"/>
      </rPr>
      <t xml:space="preserve"> hs</t>
    </r>
    <r>
      <rPr>
        <sz val="11"/>
        <color rgb="FFD3D7DE"/>
        <rFont val="Calibri"/>
        <family val="2"/>
        <scheme val="minor"/>
      </rPr>
      <t>,</t>
    </r>
    <r>
      <rPr>
        <sz val="11"/>
        <color theme="1"/>
        <rFont val="Calibri"/>
        <family val="2"/>
        <scheme val="minor"/>
      </rPr>
      <t xml:space="preserve"> res </t>
    </r>
    <r>
      <rPr>
        <sz val="11"/>
        <color rgb="FFEAECF0"/>
        <rFont val="Calibri"/>
        <family val="2"/>
        <scheme val="minor"/>
      </rPr>
      <t>+</t>
    </r>
    <r>
      <rPr>
        <sz val="11"/>
        <color theme="1"/>
        <rFont val="Calibri"/>
        <family val="2"/>
        <scheme val="minor"/>
      </rPr>
      <t xml:space="preserve"> hs</t>
    </r>
  </si>
  <si>
    <t>--------------------------------------------------------------------------------------------------------------</t>
  </si>
  <si>
    <t>Demo trading using Bybit live data</t>
  </si>
  <si>
    <t>Recommended Step-by-Step Plan for You</t>
  </si>
  <si>
    <r>
      <t>Week 1 — Market data only (zero setup needed)</t>
    </r>
    <r>
      <rPr>
        <sz val="12"/>
        <color theme="1"/>
        <rFont val="Times New Roman"/>
        <family val="1"/>
      </rPr>
      <t xml:space="preserve"> Start receiving live BTC/USDT L2 data immediately — no account, no keys. Run the full AS engine locally against live data with fill simulation. This validates the signal and confirms IC holds on live data.</t>
    </r>
  </si>
  <si>
    <r>
      <t>Week 2 — Bybit Demo account + order routing</t>
    </r>
    <r>
      <rPr>
        <sz val="12"/>
        <color theme="1"/>
        <rFont val="Times New Roman"/>
        <family val="1"/>
      </rPr>
      <t xml:space="preserve"> Set up the Demo account, generate API keys, and route actual limit orders to </t>
    </r>
    <r>
      <rPr>
        <sz val="10"/>
        <color theme="1"/>
        <rFont val="Courier New"/>
        <family val="3"/>
      </rPr>
      <t>api-demo.bybit.com</t>
    </r>
    <r>
      <rPr>
        <sz val="12"/>
        <color theme="1"/>
        <rFont val="Times New Roman"/>
        <family val="1"/>
      </rPr>
      <t>. Monitor real fills, inventory, and P&amp;L on the dashboard.</t>
    </r>
  </si>
  <si>
    <t xml:space="preserve"> </t>
  </si>
  <si>
    <t xml:space="preserve">   </t>
  </si>
  <si>
    <r>
      <t>γ</t>
    </r>
    <r>
      <rPr>
        <sz val="11"/>
        <color theme="1"/>
        <rFont val="Calibri"/>
        <family val="2"/>
        <scheme val="minor"/>
      </rPr>
      <t xml:space="preserve"> (gamma):       Risk aversion:     How aggressively to hedge inventory</t>
    </r>
  </si>
  <si>
    <t xml:space="preserve">    </t>
  </si>
  <si>
    <r>
      <t>κ</t>
    </r>
    <r>
      <rPr>
        <sz val="11"/>
        <color theme="1"/>
        <rFont val="Calibri"/>
        <family val="2"/>
        <scheme val="minor"/>
      </rPr>
      <t xml:space="preserve"> (kappa):      Order arrival rate:      How competitive the market is    right now</t>
    </r>
  </si>
  <si>
    <t xml:space="preserve">  sigma: Who sets it: Market data: How: Rolling 200-tick std of log returns, every tick </t>
  </si>
  <si>
    <t xml:space="preserve">  gamma: Who sets it- RL policy : How- Based on state: inventory, vol, OBI, spread, t_norm</t>
  </si>
  <si>
    <t xml:space="preserve">  kappa: Who sets it: RL policy: How-- Based on state: inventory, vol, OBI, spread, t_norm</t>
  </si>
  <si>
    <t>gamma: Range 0.01 to 1.0:  Effect: risk aversion</t>
  </si>
  <si>
    <t>kappa: 0.50to 5.0: Effect-- arrival rate assumption</t>
  </si>
  <si>
    <t>realized_vol: Source: rolling 200 tick std: Range 0 to infinity</t>
  </si>
  <si>
    <t>obi_5: order book imbalance : Range -1 to +1</t>
  </si>
  <si>
    <t>inventory: Source: running position: Range : -0.01 to +0.01 BTC</t>
  </si>
  <si>
    <t>spread: Source: best ask-best bid: Range 0 to infinity</t>
  </si>
  <si>
    <t>t_norm: Source time in session : Range 0 to 1</t>
  </si>
  <si>
    <t>Hyperparameters: What RL controls: Settings you choose before training, like the learning rate ($\alpha$) or the discount factor ($\gamma$).</t>
  </si>
  <si>
    <t>Model Parameters: What RL controls: The internal weights of the neural network ($W$ and $b$). These are what the agent "learns."</t>
  </si>
  <si>
    <t>System Parameters: What is controls : External variables in a simulation, like the gravity in a physics engine or the friction of a robot's joint.</t>
  </si>
  <si>
    <t>Data feed is been showin in localhost: 3321 , showing 3 errors</t>
  </si>
  <si>
    <t>The attribute version  is obsolete: docker compose</t>
  </si>
  <si>
    <t>Live paper Trading</t>
  </si>
  <si>
    <t>Modifications: Results will be saved in a json file</t>
  </si>
  <si>
    <t>The code run for 120 minutes till 16:00 EST. generated aprofit $ 253. Need to confirm the actual profit and inventory</t>
  </si>
  <si>
    <t>Working on TimescaleDB for validation of results</t>
  </si>
  <si>
    <t>Errors occurred. Rectified</t>
  </si>
  <si>
    <t>14:00 to 16:00</t>
  </si>
  <si>
    <t>EST</t>
  </si>
  <si>
    <t>Windows drift issue. Synchroize the clock: w32tm /resync /force</t>
  </si>
  <si>
    <t>Modified Latency for tick to trade. 2) Drawdown calculation in Agent.py and engine.py</t>
  </si>
  <si>
    <t>11:30 to 16:00</t>
  </si>
  <si>
    <t>10:30 to 16:00</t>
  </si>
  <si>
    <t xml:space="preserve">Windows drift time along with Container time, latency extracted tick to trade. </t>
  </si>
  <si>
    <t>P&amp;L Daily</t>
  </si>
  <si>
    <t>Problem Why we use Python +Ray: Solution: For parallelism. Each thread run a ray worker. No JVM overhead, no cluster</t>
  </si>
  <si>
    <t>Error: Previous inventory is saved for next US session.  Redis now stores 11 gates for every session. These values are calculated ans stored I n Redis and Timescaledb.</t>
  </si>
  <si>
    <t>Worked on Python Extensions and  Embeddings. Taken a rest from daily hustle</t>
  </si>
  <si>
    <t>Run the code. No major modifications.4 1350 Issue 1: 11 gates calculation by persistor. 2) Check the profit calculation and price calculations</t>
  </si>
  <si>
    <t>9:30 to 16:00</t>
  </si>
  <si>
    <t>11:30  to 16:00</t>
  </si>
  <si>
    <t xml:space="preserve"> Issue 1: 11 gates calculation by persistor. 2) Check the profit calculation and price calculations. Tday profit is high $1590. Run for the enite session. Fill rate 1.47%</t>
  </si>
  <si>
    <t>Calculation of Information coefficient . No run due to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</si>
</sst>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0.00"/>
  </numFmts>
  <fonts count="45" x14ac:knownFonts="1">
    <font>
      <sz val="11"/>
      <color theme="1"/>
      <name val="Calibri"/>
      <family val="2"/>
      <scheme val="minor"/>
    </font>
    <font>
      <b/>
      <sz val="11"/>
      <color theme="1"/>
      <name val="Calibri"/>
      <family val="2"/>
      <scheme val="minor"/>
    </font>
    <font>
      <sz val="10"/>
      <color theme="1"/>
      <name val="Segoe UI"/>
      <family val="2"/>
    </font>
    <font>
      <sz val="16"/>
      <color theme="1"/>
      <name val="Calibri"/>
      <family val="2"/>
      <scheme val="minor"/>
    </font>
    <font>
      <b/>
      <sz val="16"/>
      <color theme="1"/>
      <name val="Times New Roman"/>
      <family val="1"/>
    </font>
    <font>
      <b/>
      <sz val="13.5"/>
      <color theme="1"/>
      <name val="Times New Roman"/>
      <family val="1"/>
    </font>
    <font>
      <sz val="12"/>
      <color theme="1"/>
      <name val="Times New Roman"/>
      <family val="1"/>
    </font>
    <font>
      <b/>
      <sz val="12"/>
      <color theme="1"/>
      <name val="Times New Roman"/>
      <family val="1"/>
    </font>
    <font>
      <sz val="22"/>
      <color rgb="FFFF0000"/>
      <name val="Calibri"/>
      <family val="2"/>
      <scheme val="minor"/>
    </font>
    <font>
      <sz val="22"/>
      <color theme="1"/>
      <name val="Calibri"/>
      <family val="2"/>
      <scheme val="minor"/>
    </font>
    <font>
      <b/>
      <sz val="18"/>
      <color theme="1"/>
      <name val="Times New Roman"/>
      <family val="1"/>
    </font>
    <font>
      <sz val="12"/>
      <color theme="1"/>
      <name val="Calibri"/>
      <family val="2"/>
      <scheme val="minor"/>
    </font>
    <font>
      <sz val="18"/>
      <color theme="1"/>
      <name val="Calibri"/>
      <family val="2"/>
      <scheme val="minor"/>
    </font>
    <font>
      <sz val="12"/>
      <color theme="1"/>
      <name val="Segoe UI Symbol"/>
      <family val="2"/>
    </font>
    <font>
      <b/>
      <sz val="12"/>
      <color theme="1"/>
      <name val="Calibri"/>
      <family val="2"/>
      <scheme val="minor"/>
    </font>
    <font>
      <b/>
      <sz val="18"/>
      <color theme="1"/>
      <name val="Calibri"/>
      <family val="2"/>
      <scheme val="minor"/>
    </font>
    <font>
      <sz val="18"/>
      <color theme="1"/>
      <name val="Segoe UI Symbol"/>
      <family val="2"/>
    </font>
    <font>
      <sz val="18"/>
      <color theme="1"/>
      <name val="Times New Roman"/>
      <family val="1"/>
    </font>
    <font>
      <sz val="10"/>
      <color theme="1"/>
      <name val="Symbol"/>
      <family val="1"/>
      <charset val="2"/>
    </font>
    <font>
      <sz val="7"/>
      <color theme="1"/>
      <name val="Times New Roman"/>
      <family val="1"/>
    </font>
    <font>
      <sz val="16"/>
      <color rgb="FF365F91"/>
      <name val="Cambria"/>
      <family val="1"/>
    </font>
    <font>
      <b/>
      <sz val="18"/>
      <color theme="1"/>
      <name val="Tahoma"/>
      <family val="2"/>
    </font>
    <font>
      <sz val="12"/>
      <color theme="1"/>
      <name val="Tahoma"/>
      <family val="2"/>
    </font>
    <font>
      <b/>
      <sz val="16"/>
      <color rgb="FF365F91"/>
      <name val="Cambria"/>
      <family val="1"/>
    </font>
    <font>
      <b/>
      <sz val="7"/>
      <color theme="1"/>
      <name val="Times New Roman"/>
      <family val="1"/>
    </font>
    <font>
      <sz val="12"/>
      <color rgb="FFFF0000"/>
      <name val="Calibri"/>
      <family val="2"/>
      <scheme val="minor"/>
    </font>
    <font>
      <sz val="12"/>
      <color rgb="FFFAF9F5"/>
      <name val="Segoe UI"/>
      <family val="2"/>
    </font>
    <font>
      <b/>
      <sz val="14"/>
      <color rgb="FFFF0000"/>
      <name val="Times New Roman"/>
      <family val="1"/>
    </font>
    <font>
      <sz val="14"/>
      <color rgb="FFFF0000"/>
      <name val="Times New Roman"/>
      <family val="1"/>
    </font>
    <font>
      <sz val="14"/>
      <color rgb="FFFF0000"/>
      <name val="Courier New"/>
      <family val="3"/>
    </font>
    <font>
      <sz val="10"/>
      <color theme="1"/>
      <name val="Courier New"/>
      <family val="3"/>
    </font>
    <font>
      <b/>
      <u/>
      <sz val="13.5"/>
      <color theme="1"/>
      <name val="Times New Roman"/>
      <family val="1"/>
    </font>
    <font>
      <sz val="12"/>
      <color theme="1"/>
      <name val="Arial"/>
      <family val="2"/>
    </font>
    <font>
      <sz val="10.5"/>
      <color theme="1"/>
      <name val="Segoe UI"/>
      <family val="2"/>
    </font>
    <font>
      <u/>
      <sz val="20"/>
      <color theme="1"/>
      <name val="Calibri"/>
      <family val="2"/>
      <scheme val="minor"/>
    </font>
    <font>
      <sz val="8.5"/>
      <color theme="1"/>
      <name val="Segoe UI"/>
      <family val="2"/>
    </font>
    <font>
      <sz val="9"/>
      <color theme="1"/>
      <name val="Courier New"/>
      <family val="3"/>
    </font>
    <font>
      <sz val="9"/>
      <color theme="1"/>
      <name val="Segoe UI"/>
      <family val="2"/>
    </font>
    <font>
      <sz val="11"/>
      <color rgb="FFEAECF0"/>
      <name val="Calibri"/>
      <family val="2"/>
      <scheme val="minor"/>
    </font>
    <font>
      <sz val="11"/>
      <color rgb="FFFBAD60"/>
      <name val="Calibri"/>
      <family val="2"/>
      <scheme val="minor"/>
    </font>
    <font>
      <sz val="11"/>
      <color rgb="FFD3D7DE"/>
      <name val="Calibri"/>
      <family val="2"/>
      <scheme val="minor"/>
    </font>
    <font>
      <sz val="11"/>
      <color rgb="FF5EEDED"/>
      <name val="Calibri"/>
      <family val="2"/>
      <scheme val="minor"/>
    </font>
    <font>
      <sz val="11"/>
      <color rgb="FFCC7BF4"/>
      <name val="Calibri"/>
      <family val="2"/>
      <scheme val="minor"/>
    </font>
    <font>
      <u/>
      <sz val="11"/>
      <color theme="10"/>
      <name val="Calibri"/>
      <family val="2"/>
      <scheme val="minor"/>
    </font>
    <font>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3" fillId="0" borderId="0" applyNumberFormat="0" applyFill="0" applyBorder="0" applyAlignment="0" applyProtection="0"/>
  </cellStyleXfs>
  <cellXfs count="59">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7" fillId="0" borderId="0" xfId="0" applyFont="1" applyAlignment="1">
      <alignment horizontal="center" vertical="center" wrapText="1"/>
    </xf>
    <xf numFmtId="0" fontId="6" fillId="0" borderId="0" xfId="0" applyFont="1" applyAlignment="1">
      <alignment vertical="center" wrapText="1"/>
    </xf>
    <xf numFmtId="0" fontId="27" fillId="0" borderId="0" xfId="0" applyFont="1" applyAlignment="1">
      <alignment horizontal="center" vertical="center" wrapText="1"/>
    </xf>
    <xf numFmtId="0" fontId="29" fillId="0" borderId="0" xfId="0" applyFont="1" applyAlignment="1">
      <alignment vertical="center" wrapText="1"/>
    </xf>
    <xf numFmtId="0" fontId="28" fillId="0" borderId="0" xfId="0" applyFont="1" applyAlignment="1">
      <alignment vertical="center" wrapText="1"/>
    </xf>
    <xf numFmtId="0" fontId="30" fillId="0" borderId="0" xfId="0" applyFont="1" applyAlignment="1">
      <alignment vertical="center" wrapText="1"/>
    </xf>
    <xf numFmtId="0" fontId="7" fillId="0" borderId="1" xfId="0" applyFont="1" applyBorder="1" applyAlignment="1">
      <alignment vertical="center" wrapText="1"/>
    </xf>
    <xf numFmtId="0" fontId="6" fillId="0" borderId="1" xfId="0" applyFont="1" applyBorder="1" applyAlignment="1">
      <alignment vertical="center" wrapText="1"/>
    </xf>
    <xf numFmtId="0" fontId="7" fillId="0" borderId="0" xfId="0" applyFont="1" applyAlignment="1">
      <alignment vertical="center" wrapText="1"/>
    </xf>
    <xf numFmtId="0" fontId="35" fillId="0" borderId="0" xfId="0" applyFont="1" applyAlignment="1">
      <alignment vertical="center"/>
    </xf>
    <xf numFmtId="14" fontId="0" fillId="0" borderId="0" xfId="0" applyNumberFormat="1"/>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8"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0" applyFont="1" applyAlignment="1">
      <alignment vertical="center" wrapText="1"/>
    </xf>
    <xf numFmtId="0" fontId="12" fillId="0" borderId="0" xfId="0" applyFont="1" applyAlignment="1">
      <alignment vertical="center" wrapText="1"/>
    </xf>
    <xf numFmtId="0" fontId="14" fillId="0" borderId="0" xfId="0" applyFont="1" applyAlignment="1">
      <alignment vertical="center" wrapText="1"/>
    </xf>
    <xf numFmtId="0" fontId="15" fillId="0" borderId="0" xfId="0" applyFont="1" applyAlignment="1">
      <alignment vertical="center" wrapText="1"/>
    </xf>
    <xf numFmtId="0" fontId="17" fillId="0" borderId="0" xfId="0" applyFont="1" applyAlignment="1">
      <alignment vertical="center" wrapText="1"/>
    </xf>
    <xf numFmtId="0" fontId="0" fillId="0" borderId="0" xfId="0" applyAlignment="1">
      <alignment horizontal="left" vertical="center" wrapText="1"/>
    </xf>
    <xf numFmtId="0" fontId="7" fillId="0" borderId="0" xfId="0" applyFont="1" applyAlignment="1">
      <alignment horizontal="left" vertical="center" wrapText="1"/>
    </xf>
    <xf numFmtId="0" fontId="6" fillId="0" borderId="0" xfId="0" applyFont="1" applyAlignment="1">
      <alignment horizontal="left" vertical="center" wrapText="1"/>
    </xf>
    <xf numFmtId="0" fontId="18" fillId="0" borderId="0" xfId="0" applyFont="1" applyAlignment="1">
      <alignment horizontal="left" vertical="center" wrapText="1"/>
    </xf>
    <xf numFmtId="0" fontId="20" fillId="0" borderId="0" xfId="0" applyFont="1" applyAlignment="1">
      <alignment vertical="center" wrapText="1"/>
    </xf>
    <xf numFmtId="0" fontId="23" fillId="0" borderId="0" xfId="0" applyFont="1" applyAlignment="1">
      <alignment vertical="center" wrapText="1"/>
    </xf>
    <xf numFmtId="0" fontId="13" fillId="0" borderId="0" xfId="0" applyFont="1" applyAlignment="1">
      <alignment horizontal="left" vertical="center" wrapText="1"/>
    </xf>
    <xf numFmtId="0" fontId="43" fillId="0" borderId="0" xfId="1" applyAlignment="1">
      <alignment vertical="center" wrapText="1"/>
    </xf>
    <xf numFmtId="0" fontId="25" fillId="0" borderId="0" xfId="0" applyFont="1" applyAlignment="1">
      <alignment vertical="center" wrapText="1"/>
    </xf>
    <xf numFmtId="0" fontId="26" fillId="0" borderId="0" xfId="0" applyFont="1" applyAlignment="1">
      <alignment vertical="center" wrapText="1"/>
    </xf>
    <xf numFmtId="0" fontId="27" fillId="0" borderId="0" xfId="0" applyFont="1" applyAlignment="1">
      <alignment vertical="center" wrapText="1"/>
    </xf>
    <xf numFmtId="0" fontId="32" fillId="0" borderId="0" xfId="0" applyFont="1" applyAlignment="1">
      <alignment vertical="center" wrapText="1"/>
    </xf>
    <xf numFmtId="0" fontId="33" fillId="0" borderId="0" xfId="0" applyFont="1" applyAlignment="1">
      <alignment vertical="center" wrapText="1"/>
    </xf>
    <xf numFmtId="0" fontId="34" fillId="0" borderId="0" xfId="0" applyFont="1" applyAlignment="1">
      <alignment vertical="center" wrapText="1"/>
    </xf>
    <xf numFmtId="0" fontId="0" fillId="0" borderId="0" xfId="0" applyAlignment="1">
      <alignment wrapText="1"/>
    </xf>
    <xf numFmtId="0" fontId="2" fillId="0" borderId="0" xfId="0" applyFont="1" applyAlignment="1">
      <alignment vertical="center" wrapText="1"/>
    </xf>
    <xf numFmtId="0" fontId="36" fillId="0" borderId="0" xfId="0" applyFont="1" applyAlignment="1">
      <alignment vertical="center" wrapText="1"/>
    </xf>
    <xf numFmtId="0" fontId="37" fillId="0" borderId="0" xfId="0" applyFont="1" applyAlignment="1">
      <alignment vertical="center" wrapText="1"/>
    </xf>
    <xf numFmtId="0" fontId="35" fillId="0" borderId="0" xfId="0" applyFont="1" applyAlignment="1">
      <alignment vertical="center" wrapText="1"/>
    </xf>
    <xf numFmtId="14" fontId="11" fillId="0" borderId="0" xfId="0" applyNumberFormat="1" applyFont="1" applyAlignment="1">
      <alignment vertical="center" wrapText="1"/>
    </xf>
    <xf numFmtId="0" fontId="0" fillId="2" borderId="0" xfId="0" applyFill="1"/>
    <xf numFmtId="0" fontId="0" fillId="2" borderId="0" xfId="0" applyFill="1" applyAlignment="1">
      <alignment wrapText="1"/>
    </xf>
    <xf numFmtId="0" fontId="0" fillId="0" borderId="0" xfId="0" applyAlignment="1">
      <alignment horizontal="center"/>
    </xf>
    <xf numFmtId="14" fontId="0" fillId="0" borderId="2" xfId="0" applyNumberFormat="1" applyBorder="1"/>
    <xf numFmtId="0" fontId="0" fillId="0" borderId="2" xfId="0" applyBorder="1" applyAlignment="1">
      <alignment horizontal="center"/>
    </xf>
    <xf numFmtId="164" fontId="0" fillId="0" borderId="2" xfId="0" applyNumberFormat="1" applyBorder="1" applyAlignment="1">
      <alignment horizontal="center"/>
    </xf>
    <xf numFmtId="0" fontId="3" fillId="2" borderId="2" xfId="0" applyFont="1" applyFill="1" applyBorder="1"/>
    <xf numFmtId="0" fontId="3" fillId="2" borderId="2" xfId="0" applyFont="1" applyFill="1" applyBorder="1" applyAlignment="1">
      <alignment horizontal="center"/>
    </xf>
    <xf numFmtId="2" fontId="3" fillId="2" borderId="2" xfId="0" applyNumberFormat="1" applyFont="1" applyFill="1" applyBorder="1" applyAlignment="1">
      <alignment horizontal="center"/>
    </xf>
    <xf numFmtId="2" fontId="0" fillId="0" borderId="2" xfId="0" applyNumberFormat="1" applyBorder="1" applyAlignment="1">
      <alignment horizontal="center"/>
    </xf>
    <xf numFmtId="2" fontId="44" fillId="2" borderId="0" xfId="0" applyNumberFormat="1" applyFont="1" applyFill="1" applyAlignment="1">
      <alignment horizontal="center"/>
    </xf>
    <xf numFmtId="2" fontId="0" fillId="0" borderId="0" xfId="0" applyNumberForma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19050</xdr:colOff>
      <xdr:row>364</xdr:row>
      <xdr:rowOff>47625</xdr:rowOff>
    </xdr:from>
    <xdr:to>
      <xdr:col>2</xdr:col>
      <xdr:colOff>5743575</xdr:colOff>
      <xdr:row>365</xdr:row>
      <xdr:rowOff>19050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5825" y="107727750"/>
          <a:ext cx="5724525" cy="220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599</xdr:row>
      <xdr:rowOff>0</xdr:rowOff>
    </xdr:from>
    <xdr:to>
      <xdr:col>2</xdr:col>
      <xdr:colOff>5734050</xdr:colOff>
      <xdr:row>612</xdr:row>
      <xdr:rowOff>742950</xdr:rowOff>
    </xdr:to>
    <xdr:pic>
      <xdr:nvPicPr>
        <xdr:cNvPr id="3"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00" y="138703050"/>
          <a:ext cx="5734050" cy="6210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602</xdr:row>
      <xdr:rowOff>0</xdr:rowOff>
    </xdr:from>
    <xdr:to>
      <xdr:col>2</xdr:col>
      <xdr:colOff>5724525</xdr:colOff>
      <xdr:row>625</xdr:row>
      <xdr:rowOff>161925</xdr:rowOff>
    </xdr:to>
    <xdr:pic>
      <xdr:nvPicPr>
        <xdr:cNvPr id="4" name="Picture 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9600" y="139293600"/>
          <a:ext cx="5724525" cy="8543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603</xdr:row>
      <xdr:rowOff>0</xdr:rowOff>
    </xdr:from>
    <xdr:to>
      <xdr:col>2</xdr:col>
      <xdr:colOff>5734050</xdr:colOff>
      <xdr:row>611</xdr:row>
      <xdr:rowOff>66675</xdr:rowOff>
    </xdr:to>
    <xdr:pic>
      <xdr:nvPicPr>
        <xdr:cNvPr id="5" name="Picture 4"/>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09600" y="139484100"/>
          <a:ext cx="5734050" cy="3228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866774</xdr:colOff>
      <xdr:row>1034</xdr:row>
      <xdr:rowOff>66675</xdr:rowOff>
    </xdr:from>
    <xdr:to>
      <xdr:col>2</xdr:col>
      <xdr:colOff>7458074</xdr:colOff>
      <xdr:row>1035</xdr:row>
      <xdr:rowOff>28575</xdr:rowOff>
    </xdr:to>
    <xdr:pic>
      <xdr:nvPicPr>
        <xdr:cNvPr id="6" name="Picture 5"/>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66774" y="328431525"/>
          <a:ext cx="7458075" cy="1771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bybit.com/derivatives/en/history-dat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02"/>
  <sheetViews>
    <sheetView topLeftCell="A1051" zoomScaleNormal="100" workbookViewId="0">
      <selection activeCell="C1055" sqref="C1055"/>
    </sheetView>
  </sheetViews>
  <sheetFormatPr defaultRowHeight="15" x14ac:dyDescent="0.25"/>
  <cols>
    <col min="2" max="2" width="13" customWidth="1"/>
    <col min="3" max="3" width="112.7109375" style="41" customWidth="1"/>
  </cols>
  <sheetData>
    <row r="1" spans="1:4" x14ac:dyDescent="0.25">
      <c r="A1" s="47"/>
      <c r="B1" s="47"/>
      <c r="C1" s="48"/>
      <c r="D1" s="47"/>
    </row>
    <row r="2" spans="1:4" ht="21" x14ac:dyDescent="0.25">
      <c r="A2">
        <v>1</v>
      </c>
      <c r="C2" s="16" t="s">
        <v>0</v>
      </c>
    </row>
    <row r="3" spans="1:4" ht="21" x14ac:dyDescent="0.25">
      <c r="A3">
        <v>2</v>
      </c>
      <c r="C3" s="16" t="s">
        <v>1</v>
      </c>
    </row>
    <row r="4" spans="1:4" ht="21" x14ac:dyDescent="0.25">
      <c r="A4">
        <v>3</v>
      </c>
      <c r="C4" s="16"/>
    </row>
    <row r="5" spans="1:4" ht="21" x14ac:dyDescent="0.25">
      <c r="A5">
        <v>4</v>
      </c>
      <c r="C5" s="16" t="s">
        <v>2</v>
      </c>
    </row>
    <row r="6" spans="1:4" ht="21" x14ac:dyDescent="0.25">
      <c r="A6">
        <v>5</v>
      </c>
      <c r="C6" s="16" t="s">
        <v>3</v>
      </c>
    </row>
    <row r="7" spans="1:4" ht="21" x14ac:dyDescent="0.25">
      <c r="A7">
        <v>6</v>
      </c>
      <c r="C7" s="16" t="s">
        <v>4</v>
      </c>
    </row>
    <row r="8" spans="1:4" ht="21" x14ac:dyDescent="0.25">
      <c r="A8">
        <v>7</v>
      </c>
      <c r="C8" s="16"/>
    </row>
    <row r="9" spans="1:4" ht="21" x14ac:dyDescent="0.25">
      <c r="A9">
        <v>8</v>
      </c>
      <c r="C9" s="16" t="s">
        <v>5</v>
      </c>
    </row>
    <row r="10" spans="1:4" ht="21" x14ac:dyDescent="0.25">
      <c r="A10">
        <v>9</v>
      </c>
      <c r="C10" s="16" t="s">
        <v>6</v>
      </c>
    </row>
    <row r="11" spans="1:4" ht="21" x14ac:dyDescent="0.25">
      <c r="A11">
        <v>10</v>
      </c>
      <c r="C11" s="16" t="s">
        <v>7</v>
      </c>
    </row>
    <row r="12" spans="1:4" ht="21" x14ac:dyDescent="0.25">
      <c r="A12">
        <v>11</v>
      </c>
      <c r="C12" s="16"/>
    </row>
    <row r="13" spans="1:4" ht="20.25" x14ac:dyDescent="0.25">
      <c r="A13">
        <v>12</v>
      </c>
      <c r="C13" s="17" t="s">
        <v>8</v>
      </c>
    </row>
    <row r="14" spans="1:4" x14ac:dyDescent="0.25">
      <c r="A14">
        <v>13</v>
      </c>
    </row>
    <row r="15" spans="1:4" x14ac:dyDescent="0.25">
      <c r="A15">
        <v>14</v>
      </c>
    </row>
    <row r="16" spans="1:4" ht="17.25" x14ac:dyDescent="0.25">
      <c r="A16">
        <v>15</v>
      </c>
      <c r="C16" s="18" t="s">
        <v>9</v>
      </c>
    </row>
    <row r="17" spans="1:3" ht="31.5" x14ac:dyDescent="0.25">
      <c r="A17">
        <v>16</v>
      </c>
      <c r="C17" s="6" t="s">
        <v>10</v>
      </c>
    </row>
    <row r="18" spans="1:3" ht="47.25" x14ac:dyDescent="0.25">
      <c r="A18">
        <v>17</v>
      </c>
      <c r="C18" s="6" t="s">
        <v>11</v>
      </c>
    </row>
    <row r="19" spans="1:3" ht="15.75" x14ac:dyDescent="0.25">
      <c r="A19">
        <v>18</v>
      </c>
      <c r="C19" s="6" t="s">
        <v>12</v>
      </c>
    </row>
    <row r="20" spans="1:3" x14ac:dyDescent="0.25">
      <c r="A20">
        <v>19</v>
      </c>
    </row>
    <row r="21" spans="1:3" x14ac:dyDescent="0.25">
      <c r="A21">
        <v>20</v>
      </c>
    </row>
    <row r="22" spans="1:3" ht="17.25" x14ac:dyDescent="0.25">
      <c r="A22">
        <v>21</v>
      </c>
      <c r="C22" s="18" t="s">
        <v>13</v>
      </c>
    </row>
    <row r="23" spans="1:3" ht="31.5" x14ac:dyDescent="0.25">
      <c r="A23">
        <v>22</v>
      </c>
      <c r="C23" s="6" t="s">
        <v>14</v>
      </c>
    </row>
    <row r="24" spans="1:3" ht="47.25" x14ac:dyDescent="0.25">
      <c r="A24">
        <v>23</v>
      </c>
      <c r="C24" s="6" t="s">
        <v>15</v>
      </c>
    </row>
    <row r="25" spans="1:3" ht="31.5" x14ac:dyDescent="0.25">
      <c r="A25">
        <v>24</v>
      </c>
      <c r="C25" s="6" t="s">
        <v>16</v>
      </c>
    </row>
    <row r="26" spans="1:3" ht="15.75" x14ac:dyDescent="0.25">
      <c r="A26">
        <v>25</v>
      </c>
      <c r="C26" s="6" t="s">
        <v>17</v>
      </c>
    </row>
    <row r="27" spans="1:3" x14ac:dyDescent="0.25">
      <c r="A27">
        <v>26</v>
      </c>
    </row>
    <row r="28" spans="1:3" x14ac:dyDescent="0.25">
      <c r="A28">
        <v>27</v>
      </c>
    </row>
    <row r="29" spans="1:3" ht="17.25" x14ac:dyDescent="0.25">
      <c r="A29">
        <v>28</v>
      </c>
      <c r="C29" s="18" t="s">
        <v>18</v>
      </c>
    </row>
    <row r="30" spans="1:3" ht="15.75" x14ac:dyDescent="0.25">
      <c r="A30">
        <v>29</v>
      </c>
      <c r="C30" s="6" t="s">
        <v>19</v>
      </c>
    </row>
    <row r="31" spans="1:3" ht="63" x14ac:dyDescent="0.25">
      <c r="A31">
        <v>30</v>
      </c>
      <c r="C31" s="6" t="s">
        <v>20</v>
      </c>
    </row>
    <row r="32" spans="1:3" ht="31.5" x14ac:dyDescent="0.25">
      <c r="A32">
        <v>31</v>
      </c>
      <c r="C32" s="6" t="s">
        <v>21</v>
      </c>
    </row>
    <row r="33" spans="1:3" ht="31.5" x14ac:dyDescent="0.25">
      <c r="A33">
        <v>32</v>
      </c>
      <c r="C33" s="6" t="s">
        <v>22</v>
      </c>
    </row>
    <row r="34" spans="1:3" x14ac:dyDescent="0.25">
      <c r="A34">
        <v>33</v>
      </c>
    </row>
    <row r="35" spans="1:3" ht="17.25" x14ac:dyDescent="0.25">
      <c r="A35">
        <v>34</v>
      </c>
      <c r="C35" s="18" t="s">
        <v>23</v>
      </c>
    </row>
    <row r="36" spans="1:3" ht="31.5" x14ac:dyDescent="0.25">
      <c r="A36">
        <v>35</v>
      </c>
      <c r="C36" s="6" t="s">
        <v>24</v>
      </c>
    </row>
    <row r="37" spans="1:3" ht="47.25" x14ac:dyDescent="0.25">
      <c r="A37">
        <v>36</v>
      </c>
      <c r="C37" s="6" t="s">
        <v>25</v>
      </c>
    </row>
    <row r="38" spans="1:3" ht="47.25" x14ac:dyDescent="0.25">
      <c r="A38">
        <v>37</v>
      </c>
      <c r="C38" s="6" t="s">
        <v>26</v>
      </c>
    </row>
    <row r="39" spans="1:3" ht="31.5" x14ac:dyDescent="0.25">
      <c r="A39">
        <v>38</v>
      </c>
      <c r="C39" s="6" t="s">
        <v>27</v>
      </c>
    </row>
    <row r="40" spans="1:3" x14ac:dyDescent="0.25">
      <c r="A40">
        <v>39</v>
      </c>
    </row>
    <row r="41" spans="1:3" x14ac:dyDescent="0.25">
      <c r="A41">
        <v>40</v>
      </c>
    </row>
    <row r="42" spans="1:3" ht="17.25" x14ac:dyDescent="0.25">
      <c r="A42">
        <v>41</v>
      </c>
      <c r="C42" s="18" t="s">
        <v>28</v>
      </c>
    </row>
    <row r="43" spans="1:3" ht="47.25" x14ac:dyDescent="0.25">
      <c r="A43">
        <v>42</v>
      </c>
      <c r="C43" s="6" t="s">
        <v>29</v>
      </c>
    </row>
    <row r="44" spans="1:3" ht="47.25" x14ac:dyDescent="0.25">
      <c r="A44">
        <v>43</v>
      </c>
      <c r="C44" s="6" t="s">
        <v>30</v>
      </c>
    </row>
    <row r="45" spans="1:3" ht="31.5" x14ac:dyDescent="0.25">
      <c r="A45">
        <v>44</v>
      </c>
      <c r="C45" s="6" t="s">
        <v>31</v>
      </c>
    </row>
    <row r="46" spans="1:3" x14ac:dyDescent="0.25">
      <c r="A46">
        <v>45</v>
      </c>
    </row>
    <row r="47" spans="1:3" x14ac:dyDescent="0.25">
      <c r="A47">
        <v>46</v>
      </c>
    </row>
    <row r="48" spans="1:3" ht="17.25" x14ac:dyDescent="0.25">
      <c r="A48">
        <v>47</v>
      </c>
      <c r="C48" s="18" t="s">
        <v>32</v>
      </c>
    </row>
    <row r="49" spans="1:3" ht="47.25" x14ac:dyDescent="0.25">
      <c r="A49">
        <v>48</v>
      </c>
      <c r="C49" s="6" t="s">
        <v>33</v>
      </c>
    </row>
    <row r="50" spans="1:3" ht="47.25" x14ac:dyDescent="0.25">
      <c r="A50">
        <v>49</v>
      </c>
      <c r="C50" s="6" t="s">
        <v>34</v>
      </c>
    </row>
    <row r="51" spans="1:3" ht="31.5" x14ac:dyDescent="0.25">
      <c r="A51">
        <v>50</v>
      </c>
      <c r="C51" s="6" t="s">
        <v>35</v>
      </c>
    </row>
    <row r="52" spans="1:3" ht="31.5" x14ac:dyDescent="0.25">
      <c r="A52">
        <v>51</v>
      </c>
      <c r="C52" s="6" t="s">
        <v>36</v>
      </c>
    </row>
    <row r="53" spans="1:3" x14ac:dyDescent="0.25">
      <c r="A53">
        <v>52</v>
      </c>
    </row>
    <row r="54" spans="1:3" x14ac:dyDescent="0.25">
      <c r="A54">
        <v>53</v>
      </c>
    </row>
    <row r="55" spans="1:3" ht="17.25" x14ac:dyDescent="0.25">
      <c r="A55">
        <v>54</v>
      </c>
      <c r="C55" s="18" t="s">
        <v>37</v>
      </c>
    </row>
    <row r="56" spans="1:3" ht="47.25" x14ac:dyDescent="0.25">
      <c r="A56">
        <v>55</v>
      </c>
      <c r="C56" s="6" t="s">
        <v>38</v>
      </c>
    </row>
    <row r="57" spans="1:3" ht="31.5" x14ac:dyDescent="0.25">
      <c r="A57">
        <v>56</v>
      </c>
      <c r="C57" s="6" t="s">
        <v>39</v>
      </c>
    </row>
    <row r="58" spans="1:3" ht="31.5" x14ac:dyDescent="0.25">
      <c r="A58">
        <v>57</v>
      </c>
      <c r="C58" s="6" t="s">
        <v>40</v>
      </c>
    </row>
    <row r="59" spans="1:3" ht="31.5" x14ac:dyDescent="0.25">
      <c r="A59">
        <v>58</v>
      </c>
      <c r="C59" s="6" t="s">
        <v>41</v>
      </c>
    </row>
    <row r="60" spans="1:3" ht="28.5" x14ac:dyDescent="0.25">
      <c r="A60">
        <v>59</v>
      </c>
      <c r="C60" s="19" t="s">
        <v>42</v>
      </c>
    </row>
    <row r="61" spans="1:3" ht="28.5" x14ac:dyDescent="0.25">
      <c r="A61">
        <v>60</v>
      </c>
      <c r="C61" s="20" t="s">
        <v>43</v>
      </c>
    </row>
    <row r="62" spans="1:3" x14ac:dyDescent="0.25">
      <c r="A62">
        <v>61</v>
      </c>
    </row>
    <row r="63" spans="1:3" ht="22.5" x14ac:dyDescent="0.25">
      <c r="A63">
        <v>62</v>
      </c>
      <c r="C63" s="21" t="s">
        <v>44</v>
      </c>
    </row>
    <row r="64" spans="1:3" x14ac:dyDescent="0.25">
      <c r="A64">
        <v>63</v>
      </c>
      <c r="C64" s="2"/>
    </row>
    <row r="65" spans="1:3" ht="17.25" x14ac:dyDescent="0.25">
      <c r="A65">
        <v>64</v>
      </c>
      <c r="C65" s="18" t="s">
        <v>45</v>
      </c>
    </row>
    <row r="66" spans="1:3" x14ac:dyDescent="0.25">
      <c r="A66">
        <v>65</v>
      </c>
    </row>
    <row r="67" spans="1:3" ht="31.5" x14ac:dyDescent="0.25">
      <c r="A67">
        <v>66</v>
      </c>
      <c r="C67" s="6" t="s">
        <v>46</v>
      </c>
    </row>
    <row r="68" spans="1:3" x14ac:dyDescent="0.25">
      <c r="A68">
        <v>67</v>
      </c>
    </row>
    <row r="69" spans="1:3" ht="31.5" x14ac:dyDescent="0.25">
      <c r="A69">
        <v>68</v>
      </c>
      <c r="C69" s="6" t="s">
        <v>47</v>
      </c>
    </row>
    <row r="70" spans="1:3" x14ac:dyDescent="0.25">
      <c r="A70">
        <v>69</v>
      </c>
      <c r="C70" s="2"/>
    </row>
    <row r="71" spans="1:3" x14ac:dyDescent="0.25">
      <c r="A71">
        <v>70</v>
      </c>
    </row>
    <row r="72" spans="1:3" ht="17.25" x14ac:dyDescent="0.25">
      <c r="A72">
        <v>71</v>
      </c>
      <c r="C72" s="18" t="s">
        <v>48</v>
      </c>
    </row>
    <row r="73" spans="1:3" x14ac:dyDescent="0.25">
      <c r="A73">
        <v>72</v>
      </c>
    </row>
    <row r="74" spans="1:3" ht="31.5" x14ac:dyDescent="0.25">
      <c r="A74">
        <v>73</v>
      </c>
      <c r="C74" s="6" t="s">
        <v>49</v>
      </c>
    </row>
    <row r="75" spans="1:3" x14ac:dyDescent="0.25">
      <c r="A75">
        <v>74</v>
      </c>
    </row>
    <row r="76" spans="1:3" ht="47.25" x14ac:dyDescent="0.25">
      <c r="A76">
        <v>75</v>
      </c>
      <c r="C76" s="6" t="s">
        <v>50</v>
      </c>
    </row>
    <row r="77" spans="1:3" x14ac:dyDescent="0.25">
      <c r="A77">
        <v>76</v>
      </c>
    </row>
    <row r="78" spans="1:3" ht="31.5" x14ac:dyDescent="0.25">
      <c r="A78">
        <v>77</v>
      </c>
      <c r="C78" s="6" t="s">
        <v>51</v>
      </c>
    </row>
    <row r="79" spans="1:3" x14ac:dyDescent="0.25">
      <c r="A79">
        <v>78</v>
      </c>
      <c r="C79" s="2"/>
    </row>
    <row r="80" spans="1:3" x14ac:dyDescent="0.25">
      <c r="A80">
        <v>79</v>
      </c>
    </row>
    <row r="81" spans="1:3" ht="17.25" x14ac:dyDescent="0.25">
      <c r="A81">
        <v>80</v>
      </c>
      <c r="C81" s="18" t="s">
        <v>52</v>
      </c>
    </row>
    <row r="82" spans="1:3" x14ac:dyDescent="0.25">
      <c r="A82">
        <v>81</v>
      </c>
    </row>
    <row r="83" spans="1:3" ht="63" x14ac:dyDescent="0.25">
      <c r="A83">
        <v>82</v>
      </c>
      <c r="C83" s="6" t="s">
        <v>53</v>
      </c>
    </row>
    <row r="84" spans="1:3" x14ac:dyDescent="0.25">
      <c r="A84">
        <v>83</v>
      </c>
    </row>
    <row r="85" spans="1:3" ht="31.5" x14ac:dyDescent="0.25">
      <c r="A85">
        <v>84</v>
      </c>
      <c r="C85" s="6" t="s">
        <v>54</v>
      </c>
    </row>
    <row r="86" spans="1:3" x14ac:dyDescent="0.25">
      <c r="A86">
        <v>85</v>
      </c>
      <c r="C86" s="2"/>
    </row>
    <row r="87" spans="1:3" x14ac:dyDescent="0.25">
      <c r="A87">
        <v>86</v>
      </c>
    </row>
    <row r="88" spans="1:3" ht="17.25" x14ac:dyDescent="0.25">
      <c r="A88">
        <v>87</v>
      </c>
      <c r="C88" s="18" t="s">
        <v>55</v>
      </c>
    </row>
    <row r="89" spans="1:3" x14ac:dyDescent="0.25">
      <c r="A89">
        <v>88</v>
      </c>
    </row>
    <row r="90" spans="1:3" ht="47.25" x14ac:dyDescent="0.25">
      <c r="A90">
        <v>89</v>
      </c>
      <c r="C90" s="6" t="s">
        <v>56</v>
      </c>
    </row>
    <row r="91" spans="1:3" x14ac:dyDescent="0.25">
      <c r="A91">
        <v>90</v>
      </c>
    </row>
    <row r="92" spans="1:3" ht="47.25" x14ac:dyDescent="0.25">
      <c r="A92">
        <v>91</v>
      </c>
      <c r="C92" s="6" t="s">
        <v>57</v>
      </c>
    </row>
    <row r="93" spans="1:3" x14ac:dyDescent="0.25">
      <c r="A93">
        <v>92</v>
      </c>
      <c r="C93" s="2"/>
    </row>
    <row r="94" spans="1:3" x14ac:dyDescent="0.25">
      <c r="A94">
        <v>93</v>
      </c>
    </row>
    <row r="95" spans="1:3" ht="17.25" x14ac:dyDescent="0.25">
      <c r="A95">
        <v>94</v>
      </c>
      <c r="C95" s="18" t="s">
        <v>58</v>
      </c>
    </row>
    <row r="96" spans="1:3" x14ac:dyDescent="0.25">
      <c r="A96">
        <v>95</v>
      </c>
    </row>
    <row r="97" spans="1:3" ht="47.25" x14ac:dyDescent="0.25">
      <c r="A97">
        <v>96</v>
      </c>
      <c r="C97" s="6" t="s">
        <v>59</v>
      </c>
    </row>
    <row r="98" spans="1:3" x14ac:dyDescent="0.25">
      <c r="A98">
        <v>97</v>
      </c>
    </row>
    <row r="99" spans="1:3" ht="31.5" x14ac:dyDescent="0.25">
      <c r="A99">
        <v>98</v>
      </c>
      <c r="C99" s="6" t="s">
        <v>60</v>
      </c>
    </row>
    <row r="100" spans="1:3" x14ac:dyDescent="0.25">
      <c r="A100">
        <v>99</v>
      </c>
    </row>
    <row r="101" spans="1:3" ht="17.25" x14ac:dyDescent="0.25">
      <c r="A101">
        <v>100</v>
      </c>
      <c r="C101" s="18" t="s">
        <v>61</v>
      </c>
    </row>
    <row r="102" spans="1:3" x14ac:dyDescent="0.25">
      <c r="A102">
        <v>101</v>
      </c>
    </row>
    <row r="103" spans="1:3" ht="31.5" x14ac:dyDescent="0.25">
      <c r="A103">
        <v>102</v>
      </c>
      <c r="C103" s="6" t="s">
        <v>62</v>
      </c>
    </row>
    <row r="104" spans="1:3" x14ac:dyDescent="0.25">
      <c r="A104">
        <v>103</v>
      </c>
    </row>
    <row r="105" spans="1:3" ht="47.25" x14ac:dyDescent="0.25">
      <c r="A105">
        <v>104</v>
      </c>
      <c r="C105" s="6" t="s">
        <v>63</v>
      </c>
    </row>
    <row r="106" spans="1:3" x14ac:dyDescent="0.25">
      <c r="A106">
        <v>105</v>
      </c>
    </row>
    <row r="107" spans="1:3" ht="15.75" x14ac:dyDescent="0.25">
      <c r="A107">
        <v>106</v>
      </c>
      <c r="C107" s="6" t="s">
        <v>64</v>
      </c>
    </row>
    <row r="108" spans="1:3" x14ac:dyDescent="0.25">
      <c r="A108">
        <v>107</v>
      </c>
      <c r="C108" s="2"/>
    </row>
    <row r="109" spans="1:3" x14ac:dyDescent="0.25">
      <c r="A109">
        <v>108</v>
      </c>
    </row>
    <row r="110" spans="1:3" ht="17.25" x14ac:dyDescent="0.25">
      <c r="A110">
        <v>109</v>
      </c>
      <c r="C110" s="18" t="s">
        <v>65</v>
      </c>
    </row>
    <row r="111" spans="1:3" x14ac:dyDescent="0.25">
      <c r="A111">
        <v>110</v>
      </c>
    </row>
    <row r="112" spans="1:3" ht="47.25" x14ac:dyDescent="0.25">
      <c r="A112">
        <v>111</v>
      </c>
      <c r="C112" s="6" t="s">
        <v>66</v>
      </c>
    </row>
    <row r="113" spans="1:3" x14ac:dyDescent="0.25">
      <c r="A113">
        <v>112</v>
      </c>
    </row>
    <row r="114" spans="1:3" ht="15.75" x14ac:dyDescent="0.25">
      <c r="A114">
        <v>113</v>
      </c>
      <c r="C114" s="22" t="s">
        <v>67</v>
      </c>
    </row>
    <row r="115" spans="1:3" ht="15.75" x14ac:dyDescent="0.25">
      <c r="A115">
        <v>114</v>
      </c>
      <c r="C115" s="22" t="s">
        <v>68</v>
      </c>
    </row>
    <row r="116" spans="1:3" ht="15.75" x14ac:dyDescent="0.25">
      <c r="A116">
        <v>115</v>
      </c>
      <c r="C116" s="22" t="s">
        <v>69</v>
      </c>
    </row>
    <row r="117" spans="1:3" ht="15.75" x14ac:dyDescent="0.25">
      <c r="A117">
        <v>116</v>
      </c>
      <c r="C117" s="22" t="s">
        <v>68</v>
      </c>
    </row>
    <row r="118" spans="1:3" ht="15.75" x14ac:dyDescent="0.25">
      <c r="A118">
        <v>117</v>
      </c>
      <c r="C118" s="22" t="s">
        <v>70</v>
      </c>
    </row>
    <row r="119" spans="1:3" ht="15.75" x14ac:dyDescent="0.25">
      <c r="A119">
        <v>118</v>
      </c>
      <c r="C119" s="22" t="s">
        <v>71</v>
      </c>
    </row>
    <row r="120" spans="1:3" ht="15.75" x14ac:dyDescent="0.25">
      <c r="A120">
        <v>119</v>
      </c>
      <c r="C120" s="22" t="s">
        <v>72</v>
      </c>
    </row>
    <row r="121" spans="1:3" ht="15.75" x14ac:dyDescent="0.25">
      <c r="A121">
        <v>120</v>
      </c>
      <c r="C121" s="22" t="s">
        <v>73</v>
      </c>
    </row>
    <row r="122" spans="1:3" ht="15.75" x14ac:dyDescent="0.25">
      <c r="A122">
        <v>121</v>
      </c>
      <c r="C122" s="22" t="s">
        <v>74</v>
      </c>
    </row>
    <row r="123" spans="1:3" ht="15.75" x14ac:dyDescent="0.25">
      <c r="A123">
        <v>122</v>
      </c>
      <c r="C123" s="22" t="s">
        <v>75</v>
      </c>
    </row>
    <row r="124" spans="1:3" ht="15.75" x14ac:dyDescent="0.25">
      <c r="A124">
        <v>123</v>
      </c>
      <c r="C124" s="22" t="s">
        <v>76</v>
      </c>
    </row>
    <row r="125" spans="1:3" ht="15.75" x14ac:dyDescent="0.25">
      <c r="A125">
        <v>124</v>
      </c>
      <c r="C125" s="22" t="s">
        <v>73</v>
      </c>
    </row>
    <row r="126" spans="1:3" ht="15.75" x14ac:dyDescent="0.25">
      <c r="A126">
        <v>125</v>
      </c>
      <c r="C126" s="22" t="s">
        <v>77</v>
      </c>
    </row>
    <row r="127" spans="1:3" ht="15.75" x14ac:dyDescent="0.25">
      <c r="A127">
        <v>126</v>
      </c>
      <c r="C127" s="22" t="s">
        <v>78</v>
      </c>
    </row>
    <row r="128" spans="1:3" ht="15.75" x14ac:dyDescent="0.25">
      <c r="A128">
        <v>127</v>
      </c>
      <c r="C128" s="22" t="s">
        <v>79</v>
      </c>
    </row>
    <row r="129" spans="1:3" ht="15.75" x14ac:dyDescent="0.25">
      <c r="A129">
        <v>128</v>
      </c>
      <c r="C129" s="22" t="s">
        <v>68</v>
      </c>
    </row>
    <row r="130" spans="1:3" ht="15.75" x14ac:dyDescent="0.25">
      <c r="A130">
        <v>129</v>
      </c>
      <c r="C130" s="22" t="s">
        <v>80</v>
      </c>
    </row>
    <row r="131" spans="1:3" ht="15.75" x14ac:dyDescent="0.25">
      <c r="A131">
        <v>130</v>
      </c>
      <c r="C131" s="22" t="s">
        <v>68</v>
      </c>
    </row>
    <row r="132" spans="1:3" ht="15.75" x14ac:dyDescent="0.25">
      <c r="A132">
        <v>131</v>
      </c>
      <c r="C132" s="22" t="s">
        <v>81</v>
      </c>
    </row>
    <row r="133" spans="1:3" ht="15.75" x14ac:dyDescent="0.25">
      <c r="A133">
        <v>132</v>
      </c>
      <c r="C133" s="22"/>
    </row>
    <row r="134" spans="1:3" x14ac:dyDescent="0.25">
      <c r="A134">
        <v>133</v>
      </c>
      <c r="C134" s="4" t="s">
        <v>82</v>
      </c>
    </row>
    <row r="135" spans="1:3" x14ac:dyDescent="0.25">
      <c r="A135">
        <v>134</v>
      </c>
      <c r="C135" s="1" t="s">
        <v>83</v>
      </c>
    </row>
    <row r="136" spans="1:3" x14ac:dyDescent="0.25">
      <c r="A136">
        <v>135</v>
      </c>
      <c r="C136" s="1" t="s">
        <v>84</v>
      </c>
    </row>
    <row r="137" spans="1:3" x14ac:dyDescent="0.25">
      <c r="A137">
        <v>136</v>
      </c>
      <c r="C137" s="1" t="s">
        <v>85</v>
      </c>
    </row>
    <row r="138" spans="1:3" x14ac:dyDescent="0.25">
      <c r="A138">
        <v>137</v>
      </c>
      <c r="C138" s="1" t="s">
        <v>86</v>
      </c>
    </row>
    <row r="139" spans="1:3" x14ac:dyDescent="0.25">
      <c r="A139">
        <v>138</v>
      </c>
      <c r="C139" s="1" t="s">
        <v>87</v>
      </c>
    </row>
    <row r="140" spans="1:3" x14ac:dyDescent="0.25">
      <c r="A140">
        <v>139</v>
      </c>
      <c r="C140" s="1" t="s">
        <v>88</v>
      </c>
    </row>
    <row r="141" spans="1:3" x14ac:dyDescent="0.25">
      <c r="A141">
        <v>140</v>
      </c>
      <c r="C141" s="1" t="s">
        <v>89</v>
      </c>
    </row>
    <row r="142" spans="1:3" x14ac:dyDescent="0.25">
      <c r="A142">
        <v>141</v>
      </c>
      <c r="C142" s="1" t="s">
        <v>90</v>
      </c>
    </row>
    <row r="143" spans="1:3" x14ac:dyDescent="0.25">
      <c r="A143">
        <v>142</v>
      </c>
      <c r="C143" s="1" t="s">
        <v>91</v>
      </c>
    </row>
    <row r="144" spans="1:3" x14ac:dyDescent="0.25">
      <c r="A144">
        <v>143</v>
      </c>
      <c r="C144" s="1" t="s">
        <v>84</v>
      </c>
    </row>
    <row r="145" spans="1:3" ht="15.75" x14ac:dyDescent="0.25">
      <c r="A145">
        <v>144</v>
      </c>
      <c r="C145" s="22" t="s">
        <v>92</v>
      </c>
    </row>
    <row r="146" spans="1:3" ht="15.75" x14ac:dyDescent="0.25">
      <c r="A146">
        <v>145</v>
      </c>
      <c r="C146" s="22" t="s">
        <v>93</v>
      </c>
    </row>
    <row r="147" spans="1:3" ht="15.75" x14ac:dyDescent="0.25">
      <c r="A147">
        <v>146</v>
      </c>
      <c r="C147" s="22" t="s">
        <v>94</v>
      </c>
    </row>
    <row r="148" spans="1:3" ht="15.75" x14ac:dyDescent="0.25">
      <c r="A148">
        <v>147</v>
      </c>
      <c r="C148" s="22" t="s">
        <v>95</v>
      </c>
    </row>
    <row r="149" spans="1:3" ht="15.75" x14ac:dyDescent="0.25">
      <c r="A149">
        <v>148</v>
      </c>
      <c r="C149" s="22" t="s">
        <v>96</v>
      </c>
    </row>
    <row r="150" spans="1:3" ht="15.75" x14ac:dyDescent="0.25">
      <c r="A150">
        <v>149</v>
      </c>
      <c r="C150" s="22" t="s">
        <v>97</v>
      </c>
    </row>
    <row r="151" spans="1:3" ht="15.75" x14ac:dyDescent="0.25">
      <c r="A151">
        <v>150</v>
      </c>
      <c r="C151" s="22" t="s">
        <v>98</v>
      </c>
    </row>
    <row r="152" spans="1:3" ht="15.75" x14ac:dyDescent="0.25">
      <c r="A152">
        <v>151</v>
      </c>
      <c r="C152" s="22" t="s">
        <v>99</v>
      </c>
    </row>
    <row r="153" spans="1:3" ht="15.75" x14ac:dyDescent="0.25">
      <c r="A153">
        <v>152</v>
      </c>
      <c r="C153" s="22" t="s">
        <v>100</v>
      </c>
    </row>
    <row r="154" spans="1:3" ht="15.75" x14ac:dyDescent="0.25">
      <c r="A154">
        <v>153</v>
      </c>
      <c r="C154" s="22" t="s">
        <v>101</v>
      </c>
    </row>
    <row r="155" spans="1:3" ht="15.75" x14ac:dyDescent="0.25">
      <c r="A155">
        <v>154</v>
      </c>
      <c r="C155" s="22" t="s">
        <v>102</v>
      </c>
    </row>
    <row r="156" spans="1:3" ht="15.75" x14ac:dyDescent="0.25">
      <c r="A156">
        <v>155</v>
      </c>
      <c r="C156" s="22"/>
    </row>
    <row r="157" spans="1:3" ht="23.25" x14ac:dyDescent="0.25">
      <c r="A157">
        <v>156</v>
      </c>
      <c r="C157" s="23" t="s">
        <v>103</v>
      </c>
    </row>
    <row r="158" spans="1:3" ht="15.75" x14ac:dyDescent="0.25">
      <c r="A158">
        <v>157</v>
      </c>
      <c r="C158" s="22" t="s">
        <v>104</v>
      </c>
    </row>
    <row r="159" spans="1:3" ht="15.75" x14ac:dyDescent="0.25">
      <c r="A159">
        <v>158</v>
      </c>
      <c r="C159" s="22" t="s">
        <v>105</v>
      </c>
    </row>
    <row r="160" spans="1:3" ht="15.75" x14ac:dyDescent="0.25">
      <c r="A160">
        <v>159</v>
      </c>
      <c r="C160" s="22" t="s">
        <v>106</v>
      </c>
    </row>
    <row r="161" spans="1:3" ht="15.75" x14ac:dyDescent="0.25">
      <c r="A161">
        <v>160</v>
      </c>
      <c r="C161" s="22" t="s">
        <v>107</v>
      </c>
    </row>
    <row r="162" spans="1:3" ht="15.75" x14ac:dyDescent="0.25">
      <c r="A162">
        <v>161</v>
      </c>
      <c r="C162" s="22" t="s">
        <v>108</v>
      </c>
    </row>
    <row r="163" spans="1:3" ht="15.75" x14ac:dyDescent="0.25">
      <c r="A163">
        <v>162</v>
      </c>
      <c r="C163" s="22" t="s">
        <v>109</v>
      </c>
    </row>
    <row r="164" spans="1:3" ht="15.75" x14ac:dyDescent="0.25">
      <c r="A164">
        <v>163</v>
      </c>
      <c r="C164" s="22" t="s">
        <v>110</v>
      </c>
    </row>
    <row r="165" spans="1:3" ht="15.75" x14ac:dyDescent="0.25">
      <c r="A165">
        <v>164</v>
      </c>
      <c r="C165" s="22"/>
    </row>
    <row r="166" spans="1:3" ht="15.75" x14ac:dyDescent="0.25">
      <c r="A166">
        <v>165</v>
      </c>
      <c r="C166" s="22" t="s">
        <v>111</v>
      </c>
    </row>
    <row r="167" spans="1:3" ht="15.75" x14ac:dyDescent="0.25">
      <c r="A167">
        <v>166</v>
      </c>
      <c r="C167" s="22"/>
    </row>
    <row r="168" spans="1:3" ht="15.75" x14ac:dyDescent="0.25">
      <c r="A168">
        <v>167</v>
      </c>
      <c r="C168" s="22" t="s">
        <v>112</v>
      </c>
    </row>
    <row r="169" spans="1:3" ht="15.75" x14ac:dyDescent="0.25">
      <c r="A169">
        <v>168</v>
      </c>
      <c r="C169" s="22" t="s">
        <v>105</v>
      </c>
    </row>
    <row r="170" spans="1:3" ht="15.75" x14ac:dyDescent="0.25">
      <c r="A170">
        <v>169</v>
      </c>
      <c r="C170" s="22" t="s">
        <v>113</v>
      </c>
    </row>
    <row r="171" spans="1:3" ht="15.75" x14ac:dyDescent="0.25">
      <c r="A171">
        <v>170</v>
      </c>
      <c r="C171" s="22" t="s">
        <v>114</v>
      </c>
    </row>
    <row r="172" spans="1:3" ht="15.75" x14ac:dyDescent="0.25">
      <c r="A172">
        <v>171</v>
      </c>
      <c r="C172" s="22" t="s">
        <v>115</v>
      </c>
    </row>
    <row r="173" spans="1:3" ht="15.75" x14ac:dyDescent="0.25">
      <c r="A173">
        <v>172</v>
      </c>
      <c r="C173" s="22" t="s">
        <v>116</v>
      </c>
    </row>
    <row r="174" spans="1:3" ht="15.75" x14ac:dyDescent="0.25">
      <c r="A174">
        <v>173</v>
      </c>
      <c r="C174" s="22" t="s">
        <v>117</v>
      </c>
    </row>
    <row r="175" spans="1:3" ht="15.75" x14ac:dyDescent="0.25">
      <c r="A175">
        <v>174</v>
      </c>
      <c r="C175" s="22"/>
    </row>
    <row r="176" spans="1:3" ht="15.75" x14ac:dyDescent="0.25">
      <c r="A176">
        <v>175</v>
      </c>
      <c r="C176" s="22" t="s">
        <v>118</v>
      </c>
    </row>
    <row r="177" spans="1:3" ht="15.75" x14ac:dyDescent="0.25">
      <c r="A177">
        <v>176</v>
      </c>
      <c r="C177" s="22"/>
    </row>
    <row r="178" spans="1:3" ht="15.75" x14ac:dyDescent="0.25">
      <c r="A178">
        <v>177</v>
      </c>
      <c r="C178" s="22" t="s">
        <v>119</v>
      </c>
    </row>
    <row r="179" spans="1:3" ht="15.75" x14ac:dyDescent="0.25">
      <c r="A179">
        <v>178</v>
      </c>
      <c r="C179" s="22" t="s">
        <v>105</v>
      </c>
    </row>
    <row r="180" spans="1:3" ht="15.75" x14ac:dyDescent="0.25">
      <c r="A180">
        <v>179</v>
      </c>
      <c r="C180" s="22" t="s">
        <v>120</v>
      </c>
    </row>
    <row r="181" spans="1:3" ht="17.25" x14ac:dyDescent="0.25">
      <c r="A181">
        <v>180</v>
      </c>
      <c r="C181" s="22" t="s">
        <v>121</v>
      </c>
    </row>
    <row r="182" spans="1:3" x14ac:dyDescent="0.25">
      <c r="A182">
        <v>181</v>
      </c>
      <c r="C182" s="1"/>
    </row>
    <row r="183" spans="1:3" ht="28.5" x14ac:dyDescent="0.25">
      <c r="A183">
        <v>182</v>
      </c>
      <c r="C183" s="20" t="s">
        <v>122</v>
      </c>
    </row>
    <row r="184" spans="1:3" ht="15.75" x14ac:dyDescent="0.25">
      <c r="A184">
        <v>183</v>
      </c>
      <c r="C184" s="22" t="s">
        <v>123</v>
      </c>
    </row>
    <row r="185" spans="1:3" ht="15.75" x14ac:dyDescent="0.25">
      <c r="A185">
        <v>184</v>
      </c>
      <c r="C185" s="22" t="s">
        <v>68</v>
      </c>
    </row>
    <row r="186" spans="1:3" ht="15.75" x14ac:dyDescent="0.25">
      <c r="A186">
        <v>185</v>
      </c>
      <c r="C186" s="22" t="s">
        <v>124</v>
      </c>
    </row>
    <row r="187" spans="1:3" ht="15.75" x14ac:dyDescent="0.25">
      <c r="A187">
        <v>186</v>
      </c>
      <c r="C187" s="22" t="s">
        <v>68</v>
      </c>
    </row>
    <row r="188" spans="1:3" ht="15.75" x14ac:dyDescent="0.25">
      <c r="A188">
        <v>187</v>
      </c>
      <c r="C188" s="22" t="s">
        <v>125</v>
      </c>
    </row>
    <row r="189" spans="1:3" ht="15.75" x14ac:dyDescent="0.25">
      <c r="A189">
        <v>188</v>
      </c>
      <c r="C189" s="22" t="s">
        <v>68</v>
      </c>
    </row>
    <row r="190" spans="1:3" ht="15.75" x14ac:dyDescent="0.25">
      <c r="A190">
        <v>189</v>
      </c>
      <c r="C190" s="22" t="s">
        <v>126</v>
      </c>
    </row>
    <row r="191" spans="1:3" ht="15.75" x14ac:dyDescent="0.25">
      <c r="A191">
        <v>190</v>
      </c>
      <c r="C191" s="22" t="s">
        <v>68</v>
      </c>
    </row>
    <row r="192" spans="1:3" ht="15.75" x14ac:dyDescent="0.25">
      <c r="A192">
        <v>191</v>
      </c>
      <c r="C192" s="22" t="s">
        <v>127</v>
      </c>
    </row>
    <row r="193" spans="1:3" ht="15.75" x14ac:dyDescent="0.25">
      <c r="A193">
        <v>192</v>
      </c>
      <c r="C193" s="22" t="s">
        <v>68</v>
      </c>
    </row>
    <row r="194" spans="1:3" ht="15.75" x14ac:dyDescent="0.25">
      <c r="A194">
        <v>193</v>
      </c>
      <c r="C194" s="22" t="s">
        <v>128</v>
      </c>
    </row>
    <row r="195" spans="1:3" ht="15.75" x14ac:dyDescent="0.25">
      <c r="A195">
        <v>194</v>
      </c>
      <c r="C195" s="22"/>
    </row>
    <row r="196" spans="1:3" x14ac:dyDescent="0.25">
      <c r="A196">
        <v>195</v>
      </c>
    </row>
    <row r="197" spans="1:3" ht="22.5" x14ac:dyDescent="0.25">
      <c r="A197">
        <v>196</v>
      </c>
      <c r="C197" s="21" t="s">
        <v>129</v>
      </c>
    </row>
    <row r="198" spans="1:3" x14ac:dyDescent="0.25">
      <c r="A198">
        <v>197</v>
      </c>
    </row>
    <row r="199" spans="1:3" ht="17.25" x14ac:dyDescent="0.25">
      <c r="A199">
        <v>198</v>
      </c>
      <c r="C199" s="18" t="s">
        <v>130</v>
      </c>
    </row>
    <row r="200" spans="1:3" x14ac:dyDescent="0.25">
      <c r="A200">
        <v>199</v>
      </c>
    </row>
    <row r="201" spans="1:3" ht="31.5" x14ac:dyDescent="0.25">
      <c r="A201">
        <v>200</v>
      </c>
      <c r="C201" s="6" t="s">
        <v>131</v>
      </c>
    </row>
    <row r="202" spans="1:3" x14ac:dyDescent="0.25">
      <c r="A202">
        <v>201</v>
      </c>
      <c r="C202" s="2"/>
    </row>
    <row r="203" spans="1:3" x14ac:dyDescent="0.25">
      <c r="A203">
        <v>202</v>
      </c>
    </row>
    <row r="204" spans="1:3" ht="17.25" x14ac:dyDescent="0.25">
      <c r="A204">
        <v>203</v>
      </c>
      <c r="C204" s="18" t="s">
        <v>132</v>
      </c>
    </row>
    <row r="205" spans="1:3" x14ac:dyDescent="0.25">
      <c r="A205">
        <v>204</v>
      </c>
    </row>
    <row r="206" spans="1:3" ht="47.25" x14ac:dyDescent="0.25">
      <c r="A206">
        <v>205</v>
      </c>
      <c r="C206" s="6" t="s">
        <v>133</v>
      </c>
    </row>
    <row r="207" spans="1:3" x14ac:dyDescent="0.25">
      <c r="A207">
        <v>206</v>
      </c>
    </row>
    <row r="208" spans="1:3" ht="31.5" x14ac:dyDescent="0.25">
      <c r="A208">
        <v>207</v>
      </c>
      <c r="C208" s="6" t="s">
        <v>134</v>
      </c>
    </row>
    <row r="209" spans="1:3" x14ac:dyDescent="0.25">
      <c r="A209">
        <v>208</v>
      </c>
      <c r="C209" s="2"/>
    </row>
    <row r="210" spans="1:3" x14ac:dyDescent="0.25">
      <c r="A210">
        <v>209</v>
      </c>
    </row>
    <row r="211" spans="1:3" ht="17.25" x14ac:dyDescent="0.25">
      <c r="A211">
        <v>210</v>
      </c>
      <c r="C211" s="18" t="s">
        <v>135</v>
      </c>
    </row>
    <row r="212" spans="1:3" x14ac:dyDescent="0.25">
      <c r="A212">
        <v>211</v>
      </c>
    </row>
    <row r="213" spans="1:3" ht="31.5" x14ac:dyDescent="0.25">
      <c r="A213">
        <v>212</v>
      </c>
      <c r="C213" s="6" t="s">
        <v>136</v>
      </c>
    </row>
    <row r="214" spans="1:3" x14ac:dyDescent="0.25">
      <c r="A214">
        <v>213</v>
      </c>
    </row>
    <row r="215" spans="1:3" ht="15.75" x14ac:dyDescent="0.25">
      <c r="A215">
        <v>214</v>
      </c>
      <c r="C215" s="22" t="s">
        <v>137</v>
      </c>
    </row>
    <row r="216" spans="1:3" ht="15.75" x14ac:dyDescent="0.25">
      <c r="A216">
        <v>215</v>
      </c>
      <c r="C216" s="22" t="s">
        <v>138</v>
      </c>
    </row>
    <row r="217" spans="1:3" ht="15.75" x14ac:dyDescent="0.25">
      <c r="A217">
        <v>216</v>
      </c>
      <c r="C217" s="22" t="s">
        <v>139</v>
      </c>
    </row>
    <row r="218" spans="1:3" ht="15.75" x14ac:dyDescent="0.25">
      <c r="A218">
        <v>217</v>
      </c>
      <c r="C218" s="22" t="s">
        <v>140</v>
      </c>
    </row>
    <row r="219" spans="1:3" ht="15.75" x14ac:dyDescent="0.25">
      <c r="A219">
        <v>218</v>
      </c>
      <c r="C219" s="22" t="s">
        <v>141</v>
      </c>
    </row>
    <row r="220" spans="1:3" ht="15.75" x14ac:dyDescent="0.25">
      <c r="A220">
        <v>219</v>
      </c>
      <c r="C220" s="22" t="s">
        <v>142</v>
      </c>
    </row>
    <row r="221" spans="1:3" ht="15.75" x14ac:dyDescent="0.25">
      <c r="A221">
        <v>220</v>
      </c>
      <c r="C221" s="22" t="s">
        <v>143</v>
      </c>
    </row>
    <row r="222" spans="1:3" ht="15.75" x14ac:dyDescent="0.25">
      <c r="A222">
        <v>221</v>
      </c>
      <c r="C222" s="22" t="s">
        <v>144</v>
      </c>
    </row>
    <row r="223" spans="1:3" ht="15.75" x14ac:dyDescent="0.25">
      <c r="A223">
        <v>222</v>
      </c>
      <c r="C223" s="22" t="s">
        <v>145</v>
      </c>
    </row>
    <row r="224" spans="1:3" ht="15.75" x14ac:dyDescent="0.25">
      <c r="A224">
        <v>223</v>
      </c>
      <c r="C224" s="22" t="s">
        <v>146</v>
      </c>
    </row>
    <row r="225" spans="1:3" ht="15.75" x14ac:dyDescent="0.25">
      <c r="A225">
        <v>224</v>
      </c>
      <c r="C225" s="22" t="s">
        <v>147</v>
      </c>
    </row>
    <row r="226" spans="1:3" ht="15.75" x14ac:dyDescent="0.25">
      <c r="A226">
        <v>225</v>
      </c>
      <c r="C226" s="22" t="s">
        <v>148</v>
      </c>
    </row>
    <row r="227" spans="1:3" ht="15.75" x14ac:dyDescent="0.25">
      <c r="A227">
        <v>226</v>
      </c>
      <c r="C227" s="22" t="s">
        <v>149</v>
      </c>
    </row>
    <row r="228" spans="1:3" ht="15.75" x14ac:dyDescent="0.25">
      <c r="A228">
        <v>227</v>
      </c>
      <c r="C228" s="22" t="s">
        <v>150</v>
      </c>
    </row>
    <row r="229" spans="1:3" ht="15.75" x14ac:dyDescent="0.25">
      <c r="A229">
        <v>228</v>
      </c>
      <c r="C229" s="22" t="s">
        <v>151</v>
      </c>
    </row>
    <row r="230" spans="1:3" ht="15.75" x14ac:dyDescent="0.25">
      <c r="A230">
        <v>229</v>
      </c>
      <c r="C230" s="22" t="s">
        <v>152</v>
      </c>
    </row>
    <row r="231" spans="1:3" ht="15.75" x14ac:dyDescent="0.25">
      <c r="A231">
        <v>230</v>
      </c>
      <c r="C231" s="22" t="s">
        <v>153</v>
      </c>
    </row>
    <row r="232" spans="1:3" ht="15.75" x14ac:dyDescent="0.25">
      <c r="A232">
        <v>231</v>
      </c>
      <c r="C232" s="22" t="s">
        <v>154</v>
      </c>
    </row>
    <row r="233" spans="1:3" ht="15.75" x14ac:dyDescent="0.25">
      <c r="A233">
        <v>232</v>
      </c>
      <c r="C233" s="22" t="s">
        <v>155</v>
      </c>
    </row>
    <row r="234" spans="1:3" ht="15.75" x14ac:dyDescent="0.25">
      <c r="A234">
        <v>233</v>
      </c>
      <c r="C234" s="22" t="s">
        <v>156</v>
      </c>
    </row>
    <row r="235" spans="1:3" ht="15.75" x14ac:dyDescent="0.25">
      <c r="A235">
        <v>234</v>
      </c>
      <c r="C235" s="22" t="s">
        <v>157</v>
      </c>
    </row>
    <row r="236" spans="1:3" ht="15.75" x14ac:dyDescent="0.25">
      <c r="A236">
        <v>235</v>
      </c>
      <c r="C236" s="22" t="s">
        <v>158</v>
      </c>
    </row>
    <row r="237" spans="1:3" ht="15.75" x14ac:dyDescent="0.25">
      <c r="A237">
        <v>236</v>
      </c>
      <c r="C237" s="22" t="s">
        <v>159</v>
      </c>
    </row>
    <row r="238" spans="1:3" ht="15.75" x14ac:dyDescent="0.25">
      <c r="A238">
        <v>237</v>
      </c>
      <c r="C238" s="22" t="s">
        <v>160</v>
      </c>
    </row>
    <row r="239" spans="1:3" ht="15.75" x14ac:dyDescent="0.25">
      <c r="A239">
        <v>238</v>
      </c>
      <c r="C239" s="22" t="s">
        <v>161</v>
      </c>
    </row>
    <row r="240" spans="1:3" ht="15.75" x14ac:dyDescent="0.25">
      <c r="A240">
        <v>239</v>
      </c>
      <c r="C240" s="22" t="s">
        <v>162</v>
      </c>
    </row>
    <row r="241" spans="1:3" ht="15.75" x14ac:dyDescent="0.25">
      <c r="A241">
        <v>240</v>
      </c>
      <c r="C241" s="22" t="s">
        <v>163</v>
      </c>
    </row>
    <row r="242" spans="1:3" ht="15.75" x14ac:dyDescent="0.25">
      <c r="A242">
        <v>241</v>
      </c>
      <c r="C242" s="22"/>
    </row>
    <row r="243" spans="1:3" ht="15.75" x14ac:dyDescent="0.25">
      <c r="A243">
        <v>242</v>
      </c>
      <c r="C243" s="22"/>
    </row>
    <row r="244" spans="1:3" ht="15.75" x14ac:dyDescent="0.25">
      <c r="A244">
        <v>243</v>
      </c>
      <c r="C244" s="24" t="s">
        <v>164</v>
      </c>
    </row>
    <row r="245" spans="1:3" ht="15.75" x14ac:dyDescent="0.25">
      <c r="A245">
        <v>244</v>
      </c>
      <c r="C245" s="22" t="s">
        <v>165</v>
      </c>
    </row>
    <row r="246" spans="1:3" ht="17.25" x14ac:dyDescent="0.25">
      <c r="A246">
        <v>245</v>
      </c>
      <c r="C246" s="22" t="s">
        <v>166</v>
      </c>
    </row>
    <row r="247" spans="1:3" ht="17.25" x14ac:dyDescent="0.25">
      <c r="A247">
        <v>246</v>
      </c>
      <c r="C247" s="22" t="s">
        <v>167</v>
      </c>
    </row>
    <row r="248" spans="1:3" ht="17.25" x14ac:dyDescent="0.25">
      <c r="A248">
        <v>247</v>
      </c>
      <c r="C248" s="22" t="s">
        <v>168</v>
      </c>
    </row>
    <row r="249" spans="1:3" ht="17.25" x14ac:dyDescent="0.25">
      <c r="A249">
        <v>248</v>
      </c>
      <c r="C249" s="22" t="s">
        <v>169</v>
      </c>
    </row>
    <row r="250" spans="1:3" ht="17.25" x14ac:dyDescent="0.25">
      <c r="A250">
        <v>249</v>
      </c>
      <c r="C250" s="22" t="s">
        <v>170</v>
      </c>
    </row>
    <row r="251" spans="1:3" ht="17.25" x14ac:dyDescent="0.25">
      <c r="A251">
        <v>250</v>
      </c>
      <c r="C251" s="22" t="s">
        <v>171</v>
      </c>
    </row>
    <row r="252" spans="1:3" ht="17.25" x14ac:dyDescent="0.25">
      <c r="A252">
        <v>251</v>
      </c>
      <c r="C252" s="22" t="s">
        <v>172</v>
      </c>
    </row>
    <row r="253" spans="1:3" ht="17.25" x14ac:dyDescent="0.25">
      <c r="A253">
        <v>252</v>
      </c>
      <c r="C253" s="22" t="s">
        <v>173</v>
      </c>
    </row>
    <row r="254" spans="1:3" ht="15.75" x14ac:dyDescent="0.25">
      <c r="A254">
        <v>253</v>
      </c>
      <c r="C254" s="22" t="s">
        <v>165</v>
      </c>
    </row>
    <row r="255" spans="1:3" ht="23.25" x14ac:dyDescent="0.25">
      <c r="A255">
        <v>254</v>
      </c>
      <c r="C255" s="25" t="s">
        <v>174</v>
      </c>
    </row>
    <row r="256" spans="1:3" ht="23.25" x14ac:dyDescent="0.25">
      <c r="A256">
        <v>255</v>
      </c>
      <c r="C256" s="25" t="s">
        <v>175</v>
      </c>
    </row>
    <row r="257" spans="1:3" ht="23.25" x14ac:dyDescent="0.25">
      <c r="A257">
        <v>256</v>
      </c>
      <c r="C257" s="25" t="s">
        <v>176</v>
      </c>
    </row>
    <row r="258" spans="1:3" ht="23.25" x14ac:dyDescent="0.25">
      <c r="A258">
        <v>257</v>
      </c>
      <c r="C258" s="25" t="s">
        <v>177</v>
      </c>
    </row>
    <row r="259" spans="1:3" ht="23.25" x14ac:dyDescent="0.25">
      <c r="A259">
        <v>258</v>
      </c>
      <c r="C259" s="25" t="s">
        <v>178</v>
      </c>
    </row>
    <row r="260" spans="1:3" ht="23.25" x14ac:dyDescent="0.25">
      <c r="A260">
        <v>259</v>
      </c>
      <c r="C260" s="25" t="s">
        <v>179</v>
      </c>
    </row>
    <row r="261" spans="1:3" ht="23.25" x14ac:dyDescent="0.25">
      <c r="A261">
        <v>260</v>
      </c>
      <c r="C261" s="25" t="s">
        <v>180</v>
      </c>
    </row>
    <row r="262" spans="1:3" ht="23.25" x14ac:dyDescent="0.25">
      <c r="A262">
        <v>261</v>
      </c>
      <c r="C262" s="25" t="s">
        <v>179</v>
      </c>
    </row>
    <row r="263" spans="1:3" ht="23.25" x14ac:dyDescent="0.25">
      <c r="A263">
        <v>262</v>
      </c>
      <c r="C263" s="25" t="s">
        <v>181</v>
      </c>
    </row>
    <row r="264" spans="1:3" ht="23.25" x14ac:dyDescent="0.25">
      <c r="A264">
        <v>263</v>
      </c>
      <c r="C264" s="25" t="s">
        <v>182</v>
      </c>
    </row>
    <row r="265" spans="1:3" ht="23.25" x14ac:dyDescent="0.25">
      <c r="A265">
        <v>264</v>
      </c>
      <c r="C265" s="25" t="s">
        <v>183</v>
      </c>
    </row>
    <row r="266" spans="1:3" ht="23.25" x14ac:dyDescent="0.25">
      <c r="A266">
        <v>265</v>
      </c>
      <c r="C266" s="25" t="s">
        <v>184</v>
      </c>
    </row>
    <row r="267" spans="1:3" ht="23.25" x14ac:dyDescent="0.25">
      <c r="A267">
        <v>266</v>
      </c>
      <c r="C267" s="25" t="s">
        <v>179</v>
      </c>
    </row>
    <row r="268" spans="1:3" ht="23.25" x14ac:dyDescent="0.25">
      <c r="A268">
        <v>267</v>
      </c>
      <c r="C268" s="25" t="s">
        <v>181</v>
      </c>
    </row>
    <row r="269" spans="1:3" ht="23.25" x14ac:dyDescent="0.25">
      <c r="A269">
        <v>268</v>
      </c>
      <c r="C269" s="25" t="s">
        <v>185</v>
      </c>
    </row>
    <row r="270" spans="1:3" ht="23.25" x14ac:dyDescent="0.25">
      <c r="A270">
        <v>269</v>
      </c>
      <c r="C270" s="25" t="s">
        <v>183</v>
      </c>
    </row>
    <row r="271" spans="1:3" ht="23.25" x14ac:dyDescent="0.25">
      <c r="A271">
        <v>270</v>
      </c>
      <c r="C271" s="25" t="s">
        <v>184</v>
      </c>
    </row>
    <row r="272" spans="1:3" ht="23.25" x14ac:dyDescent="0.25">
      <c r="A272">
        <v>271</v>
      </c>
      <c r="C272" s="25" t="s">
        <v>179</v>
      </c>
    </row>
    <row r="273" spans="1:3" ht="23.25" x14ac:dyDescent="0.25">
      <c r="A273">
        <v>272</v>
      </c>
      <c r="C273" s="25" t="s">
        <v>186</v>
      </c>
    </row>
    <row r="274" spans="1:3" ht="23.25" x14ac:dyDescent="0.25">
      <c r="A274">
        <v>273</v>
      </c>
      <c r="C274" s="25" t="s">
        <v>187</v>
      </c>
    </row>
    <row r="275" spans="1:3" ht="23.25" x14ac:dyDescent="0.25">
      <c r="A275">
        <v>274</v>
      </c>
      <c r="C275" s="25" t="s">
        <v>188</v>
      </c>
    </row>
    <row r="276" spans="1:3" ht="23.25" x14ac:dyDescent="0.25">
      <c r="A276">
        <v>275</v>
      </c>
      <c r="C276" s="25" t="s">
        <v>189</v>
      </c>
    </row>
    <row r="277" spans="1:3" ht="23.25" x14ac:dyDescent="0.25">
      <c r="A277">
        <v>276</v>
      </c>
      <c r="C277" s="25" t="s">
        <v>190</v>
      </c>
    </row>
    <row r="278" spans="1:3" ht="23.25" x14ac:dyDescent="0.25">
      <c r="A278">
        <v>277</v>
      </c>
      <c r="C278" s="25" t="s">
        <v>191</v>
      </c>
    </row>
    <row r="279" spans="1:3" ht="23.25" x14ac:dyDescent="0.25">
      <c r="A279">
        <v>278</v>
      </c>
      <c r="C279" s="25" t="s">
        <v>190</v>
      </c>
    </row>
    <row r="280" spans="1:3" ht="23.25" x14ac:dyDescent="0.25">
      <c r="A280">
        <v>279</v>
      </c>
      <c r="C280" s="25" t="s">
        <v>192</v>
      </c>
    </row>
    <row r="281" spans="1:3" ht="23.25" x14ac:dyDescent="0.25">
      <c r="A281">
        <v>280</v>
      </c>
      <c r="C281" s="25" t="s">
        <v>193</v>
      </c>
    </row>
    <row r="282" spans="1:3" ht="23.25" x14ac:dyDescent="0.25">
      <c r="A282">
        <v>281</v>
      </c>
      <c r="C282" s="25" t="s">
        <v>194</v>
      </c>
    </row>
    <row r="283" spans="1:3" ht="23.25" x14ac:dyDescent="0.25">
      <c r="A283">
        <v>282</v>
      </c>
      <c r="C283" s="25" t="s">
        <v>195</v>
      </c>
    </row>
    <row r="284" spans="1:3" ht="23.25" x14ac:dyDescent="0.25">
      <c r="A284">
        <v>283</v>
      </c>
      <c r="C284" s="25" t="s">
        <v>196</v>
      </c>
    </row>
    <row r="285" spans="1:3" ht="23.25" x14ac:dyDescent="0.25">
      <c r="A285">
        <v>284</v>
      </c>
      <c r="C285" s="23" t="s">
        <v>197</v>
      </c>
    </row>
    <row r="286" spans="1:3" ht="23.25" x14ac:dyDescent="0.25">
      <c r="A286">
        <v>285</v>
      </c>
      <c r="C286" s="23"/>
    </row>
    <row r="287" spans="1:3" ht="26.25" x14ac:dyDescent="0.25">
      <c r="A287">
        <v>286</v>
      </c>
      <c r="C287" s="23" t="s">
        <v>198</v>
      </c>
    </row>
    <row r="288" spans="1:3" ht="23.25" x14ac:dyDescent="0.25">
      <c r="A288">
        <v>287</v>
      </c>
      <c r="C288" s="23" t="s">
        <v>199</v>
      </c>
    </row>
    <row r="289" spans="1:3" ht="23.25" x14ac:dyDescent="0.25">
      <c r="A289">
        <v>288</v>
      </c>
      <c r="C289" s="23" t="s">
        <v>200</v>
      </c>
    </row>
    <row r="290" spans="1:3" ht="23.25" x14ac:dyDescent="0.25">
      <c r="A290">
        <v>289</v>
      </c>
      <c r="C290" s="23" t="s">
        <v>201</v>
      </c>
    </row>
    <row r="291" spans="1:3" ht="23.25" x14ac:dyDescent="0.25">
      <c r="A291">
        <v>290</v>
      </c>
      <c r="C291" s="23" t="s">
        <v>202</v>
      </c>
    </row>
    <row r="292" spans="1:3" ht="23.25" x14ac:dyDescent="0.25">
      <c r="A292">
        <v>291</v>
      </c>
      <c r="C292" s="23" t="s">
        <v>203</v>
      </c>
    </row>
    <row r="293" spans="1:3" ht="23.25" x14ac:dyDescent="0.25">
      <c r="A293">
        <v>292</v>
      </c>
      <c r="C293" s="23" t="s">
        <v>204</v>
      </c>
    </row>
    <row r="294" spans="1:3" ht="23.25" x14ac:dyDescent="0.25">
      <c r="A294">
        <v>293</v>
      </c>
      <c r="C294" s="23"/>
    </row>
    <row r="295" spans="1:3" ht="26.25" x14ac:dyDescent="0.25">
      <c r="A295">
        <v>294</v>
      </c>
      <c r="C295" s="23" t="s">
        <v>205</v>
      </c>
    </row>
    <row r="296" spans="1:3" ht="23.25" x14ac:dyDescent="0.25">
      <c r="A296">
        <v>295</v>
      </c>
      <c r="C296" s="23" t="s">
        <v>199</v>
      </c>
    </row>
    <row r="297" spans="1:3" ht="23.25" x14ac:dyDescent="0.25">
      <c r="A297">
        <v>296</v>
      </c>
      <c r="C297" s="23" t="s">
        <v>206</v>
      </c>
    </row>
    <row r="298" spans="1:3" ht="23.25" x14ac:dyDescent="0.25">
      <c r="A298">
        <v>297</v>
      </c>
      <c r="C298" s="23" t="s">
        <v>207</v>
      </c>
    </row>
    <row r="299" spans="1:3" ht="23.25" x14ac:dyDescent="0.25">
      <c r="A299">
        <v>298</v>
      </c>
      <c r="C299" s="23" t="s">
        <v>208</v>
      </c>
    </row>
    <row r="300" spans="1:3" ht="23.25" x14ac:dyDescent="0.25">
      <c r="A300">
        <v>299</v>
      </c>
      <c r="C300" s="23" t="s">
        <v>209</v>
      </c>
    </row>
    <row r="301" spans="1:3" ht="23.25" x14ac:dyDescent="0.25">
      <c r="A301">
        <v>300</v>
      </c>
      <c r="C301" s="23" t="s">
        <v>210</v>
      </c>
    </row>
    <row r="302" spans="1:3" ht="23.25" x14ac:dyDescent="0.25">
      <c r="A302">
        <v>301</v>
      </c>
      <c r="C302" s="23" t="s">
        <v>211</v>
      </c>
    </row>
    <row r="303" spans="1:3" ht="23.25" x14ac:dyDescent="0.25">
      <c r="A303">
        <v>302</v>
      </c>
      <c r="C303" s="23" t="s">
        <v>204</v>
      </c>
    </row>
    <row r="304" spans="1:3" ht="23.25" x14ac:dyDescent="0.25">
      <c r="A304">
        <v>303</v>
      </c>
      <c r="C304" s="23"/>
    </row>
    <row r="305" spans="1:3" ht="26.25" x14ac:dyDescent="0.25">
      <c r="A305">
        <v>304</v>
      </c>
      <c r="C305" s="23" t="s">
        <v>212</v>
      </c>
    </row>
    <row r="306" spans="1:3" ht="23.25" x14ac:dyDescent="0.25">
      <c r="A306">
        <v>305</v>
      </c>
      <c r="C306" s="23" t="s">
        <v>199</v>
      </c>
    </row>
    <row r="307" spans="1:3" ht="23.25" x14ac:dyDescent="0.25">
      <c r="A307">
        <v>306</v>
      </c>
      <c r="C307" s="23" t="s">
        <v>213</v>
      </c>
    </row>
    <row r="308" spans="1:3" ht="23.25" x14ac:dyDescent="0.25">
      <c r="A308">
        <v>307</v>
      </c>
      <c r="C308" s="23" t="s">
        <v>214</v>
      </c>
    </row>
    <row r="309" spans="1:3" ht="23.25" x14ac:dyDescent="0.25">
      <c r="A309">
        <v>308</v>
      </c>
      <c r="C309" s="23" t="s">
        <v>215</v>
      </c>
    </row>
    <row r="310" spans="1:3" ht="23.25" x14ac:dyDescent="0.25">
      <c r="A310">
        <v>309</v>
      </c>
      <c r="C310" s="23" t="s">
        <v>216</v>
      </c>
    </row>
    <row r="311" spans="1:3" ht="23.25" x14ac:dyDescent="0.25">
      <c r="A311">
        <v>310</v>
      </c>
      <c r="C311" s="23" t="s">
        <v>217</v>
      </c>
    </row>
    <row r="312" spans="1:3" ht="23.25" x14ac:dyDescent="0.25">
      <c r="A312">
        <v>311</v>
      </c>
      <c r="C312" s="23" t="s">
        <v>218</v>
      </c>
    </row>
    <row r="313" spans="1:3" x14ac:dyDescent="0.25">
      <c r="A313">
        <v>312</v>
      </c>
    </row>
    <row r="314" spans="1:3" ht="23.25" x14ac:dyDescent="0.25">
      <c r="A314">
        <v>313</v>
      </c>
      <c r="C314" s="26" t="s">
        <v>219</v>
      </c>
    </row>
    <row r="315" spans="1:3" x14ac:dyDescent="0.25">
      <c r="A315">
        <v>314</v>
      </c>
    </row>
    <row r="316" spans="1:3" ht="15.75" x14ac:dyDescent="0.25">
      <c r="A316">
        <v>315</v>
      </c>
      <c r="C316" s="22"/>
    </row>
    <row r="317" spans="1:3" ht="78.75" x14ac:dyDescent="0.25">
      <c r="A317">
        <v>316</v>
      </c>
      <c r="C317" s="6" t="s">
        <v>220</v>
      </c>
    </row>
    <row r="318" spans="1:3" ht="31.5" x14ac:dyDescent="0.25">
      <c r="A318">
        <v>317</v>
      </c>
      <c r="C318" s="6" t="s">
        <v>221</v>
      </c>
    </row>
    <row r="319" spans="1:3" ht="17.25" x14ac:dyDescent="0.25">
      <c r="A319">
        <v>318</v>
      </c>
      <c r="C319" s="18" t="s">
        <v>222</v>
      </c>
    </row>
    <row r="320" spans="1:3" ht="15.75" x14ac:dyDescent="0.25">
      <c r="A320">
        <v>319</v>
      </c>
      <c r="C320" s="6" t="s">
        <v>223</v>
      </c>
    </row>
    <row r="321" spans="1:3" x14ac:dyDescent="0.25">
      <c r="A321">
        <v>320</v>
      </c>
      <c r="C321" s="27"/>
    </row>
    <row r="322" spans="1:3" ht="47.25" x14ac:dyDescent="0.25">
      <c r="A322">
        <v>321</v>
      </c>
      <c r="C322" s="28" t="s">
        <v>224</v>
      </c>
    </row>
    <row r="323" spans="1:3" ht="31.5" x14ac:dyDescent="0.25">
      <c r="A323">
        <v>322</v>
      </c>
      <c r="C323" s="28" t="s">
        <v>225</v>
      </c>
    </row>
    <row r="324" spans="1:3" ht="15.75" x14ac:dyDescent="0.25">
      <c r="A324">
        <v>323</v>
      </c>
      <c r="C324" s="28" t="s">
        <v>226</v>
      </c>
    </row>
    <row r="325" spans="1:3" ht="47.25" x14ac:dyDescent="0.25">
      <c r="A325">
        <v>324</v>
      </c>
      <c r="C325" s="29" t="s">
        <v>227</v>
      </c>
    </row>
    <row r="326" spans="1:3" ht="31.5" x14ac:dyDescent="0.25">
      <c r="A326">
        <v>325</v>
      </c>
      <c r="C326" s="28" t="s">
        <v>228</v>
      </c>
    </row>
    <row r="327" spans="1:3" ht="17.25" x14ac:dyDescent="0.25">
      <c r="A327">
        <v>326</v>
      </c>
      <c r="C327" s="18" t="s">
        <v>229</v>
      </c>
    </row>
    <row r="328" spans="1:3" ht="15.75" x14ac:dyDescent="0.25">
      <c r="A328">
        <v>327</v>
      </c>
      <c r="C328" s="6" t="s">
        <v>230</v>
      </c>
    </row>
    <row r="329" spans="1:3" x14ac:dyDescent="0.25">
      <c r="A329">
        <v>328</v>
      </c>
      <c r="C329" s="27"/>
    </row>
    <row r="330" spans="1:3" ht="31.5" x14ac:dyDescent="0.25">
      <c r="A330">
        <v>329</v>
      </c>
      <c r="C330" s="28" t="s">
        <v>231</v>
      </c>
    </row>
    <row r="331" spans="1:3" ht="31.5" x14ac:dyDescent="0.25">
      <c r="A331">
        <v>330</v>
      </c>
      <c r="C331" s="28" t="s">
        <v>232</v>
      </c>
    </row>
    <row r="332" spans="1:3" ht="31.5" x14ac:dyDescent="0.25">
      <c r="A332">
        <v>331</v>
      </c>
      <c r="C332" s="28" t="s">
        <v>233</v>
      </c>
    </row>
    <row r="333" spans="1:3" ht="17.25" x14ac:dyDescent="0.25">
      <c r="A333">
        <v>332</v>
      </c>
      <c r="C333" s="18" t="s">
        <v>234</v>
      </c>
    </row>
    <row r="334" spans="1:3" ht="15.75" x14ac:dyDescent="0.25">
      <c r="A334">
        <v>333</v>
      </c>
      <c r="C334" s="6" t="s">
        <v>235</v>
      </c>
    </row>
    <row r="335" spans="1:3" x14ac:dyDescent="0.25">
      <c r="A335">
        <v>334</v>
      </c>
      <c r="C335" s="27"/>
    </row>
    <row r="336" spans="1:3" ht="31.5" x14ac:dyDescent="0.25">
      <c r="A336">
        <v>335</v>
      </c>
      <c r="C336" s="28" t="s">
        <v>236</v>
      </c>
    </row>
    <row r="337" spans="1:3" ht="31.5" x14ac:dyDescent="0.25">
      <c r="A337">
        <v>336</v>
      </c>
      <c r="C337" s="28" t="s">
        <v>237</v>
      </c>
    </row>
    <row r="338" spans="1:3" ht="31.5" x14ac:dyDescent="0.25">
      <c r="A338">
        <v>337</v>
      </c>
      <c r="C338" s="28" t="s">
        <v>238</v>
      </c>
    </row>
    <row r="339" spans="1:3" ht="17.25" x14ac:dyDescent="0.25">
      <c r="A339">
        <v>338</v>
      </c>
      <c r="C339" s="18" t="s">
        <v>239</v>
      </c>
    </row>
    <row r="340" spans="1:3" ht="15.75" x14ac:dyDescent="0.25">
      <c r="A340">
        <v>339</v>
      </c>
      <c r="C340" s="6" t="s">
        <v>240</v>
      </c>
    </row>
    <row r="341" spans="1:3" x14ac:dyDescent="0.25">
      <c r="A341">
        <v>340</v>
      </c>
      <c r="C341" s="27"/>
    </row>
    <row r="342" spans="1:3" ht="31.5" x14ac:dyDescent="0.25">
      <c r="A342">
        <v>341</v>
      </c>
      <c r="C342" s="28" t="s">
        <v>241</v>
      </c>
    </row>
    <row r="343" spans="1:3" ht="31.5" x14ac:dyDescent="0.25">
      <c r="A343">
        <v>342</v>
      </c>
      <c r="C343" s="28" t="s">
        <v>242</v>
      </c>
    </row>
    <row r="344" spans="1:3" ht="17.25" x14ac:dyDescent="0.25">
      <c r="A344">
        <v>343</v>
      </c>
      <c r="C344" s="18" t="s">
        <v>243</v>
      </c>
    </row>
    <row r="345" spans="1:3" ht="15.75" x14ac:dyDescent="0.25">
      <c r="A345">
        <v>344</v>
      </c>
      <c r="C345" s="6" t="s">
        <v>244</v>
      </c>
    </row>
    <row r="346" spans="1:3" x14ac:dyDescent="0.25">
      <c r="A346">
        <v>345</v>
      </c>
      <c r="C346" s="27"/>
    </row>
    <row r="347" spans="1:3" ht="31.5" x14ac:dyDescent="0.25">
      <c r="A347">
        <v>346</v>
      </c>
      <c r="C347" s="28" t="s">
        <v>245</v>
      </c>
    </row>
    <row r="348" spans="1:3" ht="15.75" x14ac:dyDescent="0.25">
      <c r="A348">
        <v>347</v>
      </c>
      <c r="C348" s="28" t="s">
        <v>246</v>
      </c>
    </row>
    <row r="349" spans="1:3" ht="15.75" x14ac:dyDescent="0.25">
      <c r="A349">
        <v>348</v>
      </c>
      <c r="C349" s="28" t="s">
        <v>247</v>
      </c>
    </row>
    <row r="350" spans="1:3" x14ac:dyDescent="0.25">
      <c r="A350">
        <v>349</v>
      </c>
    </row>
    <row r="351" spans="1:3" x14ac:dyDescent="0.25">
      <c r="A351">
        <v>350</v>
      </c>
    </row>
    <row r="352" spans="1:3" ht="31.5" x14ac:dyDescent="0.25">
      <c r="A352">
        <v>351</v>
      </c>
      <c r="C352" s="6" t="s">
        <v>248</v>
      </c>
    </row>
    <row r="353" spans="1:3" x14ac:dyDescent="0.25">
      <c r="A353">
        <v>352</v>
      </c>
    </row>
    <row r="354" spans="1:3" ht="15.75" x14ac:dyDescent="0.25">
      <c r="A354">
        <v>353</v>
      </c>
      <c r="C354" s="6" t="s">
        <v>249</v>
      </c>
    </row>
    <row r="355" spans="1:3" x14ac:dyDescent="0.25">
      <c r="A355">
        <v>354</v>
      </c>
    </row>
    <row r="356" spans="1:3" ht="15.75" x14ac:dyDescent="0.25">
      <c r="A356">
        <v>355</v>
      </c>
      <c r="C356" s="30" t="s">
        <v>250</v>
      </c>
    </row>
    <row r="357" spans="1:3" x14ac:dyDescent="0.25">
      <c r="A357">
        <v>356</v>
      </c>
    </row>
    <row r="358" spans="1:3" ht="15.75" x14ac:dyDescent="0.25">
      <c r="A358">
        <v>357</v>
      </c>
      <c r="C358" s="30" t="s">
        <v>251</v>
      </c>
    </row>
    <row r="359" spans="1:3" x14ac:dyDescent="0.25">
      <c r="A359">
        <v>358</v>
      </c>
    </row>
    <row r="360" spans="1:3" ht="15.75" x14ac:dyDescent="0.25">
      <c r="A360">
        <v>359</v>
      </c>
      <c r="C360" s="30" t="s">
        <v>252</v>
      </c>
    </row>
    <row r="361" spans="1:3" x14ac:dyDescent="0.25">
      <c r="A361">
        <v>360</v>
      </c>
    </row>
    <row r="362" spans="1:3" ht="15.75" x14ac:dyDescent="0.25">
      <c r="A362">
        <v>361</v>
      </c>
      <c r="C362" s="30" t="s">
        <v>253</v>
      </c>
    </row>
    <row r="363" spans="1:3" x14ac:dyDescent="0.25">
      <c r="A363">
        <v>362</v>
      </c>
    </row>
    <row r="364" spans="1:3" ht="15.75" x14ac:dyDescent="0.25">
      <c r="A364">
        <v>363</v>
      </c>
      <c r="C364" s="30" t="s">
        <v>254</v>
      </c>
    </row>
    <row r="365" spans="1:3" ht="298.5" customHeight="1" x14ac:dyDescent="0.25">
      <c r="A365">
        <v>364</v>
      </c>
    </row>
    <row r="366" spans="1:3" ht="15.75" x14ac:dyDescent="0.25">
      <c r="A366">
        <v>365</v>
      </c>
      <c r="C366" s="30" t="s">
        <v>255</v>
      </c>
    </row>
    <row r="367" spans="1:3" x14ac:dyDescent="0.25">
      <c r="A367">
        <v>366</v>
      </c>
    </row>
    <row r="368" spans="1:3" ht="20.25" x14ac:dyDescent="0.25">
      <c r="A368">
        <v>367</v>
      </c>
      <c r="C368" s="31" t="s">
        <v>256</v>
      </c>
    </row>
    <row r="369" spans="1:3" x14ac:dyDescent="0.25">
      <c r="A369">
        <v>368</v>
      </c>
    </row>
    <row r="370" spans="1:3" x14ac:dyDescent="0.25">
      <c r="A370">
        <v>369</v>
      </c>
    </row>
    <row r="371" spans="1:3" ht="22.5" x14ac:dyDescent="0.25">
      <c r="A371">
        <v>370</v>
      </c>
      <c r="C371" s="21" t="s">
        <v>257</v>
      </c>
    </row>
    <row r="372" spans="1:3" x14ac:dyDescent="0.25">
      <c r="A372">
        <v>371</v>
      </c>
    </row>
    <row r="373" spans="1:3" ht="17.25" x14ac:dyDescent="0.25">
      <c r="A373">
        <v>372</v>
      </c>
      <c r="C373" s="18" t="s">
        <v>258</v>
      </c>
    </row>
    <row r="374" spans="1:3" x14ac:dyDescent="0.25">
      <c r="A374">
        <v>373</v>
      </c>
    </row>
    <row r="375" spans="1:3" ht="15.75" x14ac:dyDescent="0.25">
      <c r="A375">
        <v>374</v>
      </c>
      <c r="C375" s="6" t="s">
        <v>259</v>
      </c>
    </row>
    <row r="376" spans="1:3" x14ac:dyDescent="0.25">
      <c r="A376">
        <v>375</v>
      </c>
    </row>
    <row r="377" spans="1:3" ht="15.75" x14ac:dyDescent="0.25">
      <c r="A377">
        <v>376</v>
      </c>
      <c r="C377" s="30" t="s">
        <v>260</v>
      </c>
    </row>
    <row r="378" spans="1:3" x14ac:dyDescent="0.25">
      <c r="A378">
        <v>377</v>
      </c>
    </row>
    <row r="379" spans="1:3" ht="15.75" x14ac:dyDescent="0.25">
      <c r="A379">
        <v>378</v>
      </c>
      <c r="C379" s="30" t="s">
        <v>261</v>
      </c>
    </row>
    <row r="380" spans="1:3" x14ac:dyDescent="0.25">
      <c r="A380">
        <v>379</v>
      </c>
    </row>
    <row r="381" spans="1:3" ht="15.75" x14ac:dyDescent="0.25">
      <c r="A381">
        <v>380</v>
      </c>
      <c r="C381" s="6" t="s">
        <v>262</v>
      </c>
    </row>
    <row r="382" spans="1:3" x14ac:dyDescent="0.25">
      <c r="A382">
        <v>381</v>
      </c>
    </row>
    <row r="383" spans="1:3" ht="17.25" x14ac:dyDescent="0.25">
      <c r="A383">
        <v>382</v>
      </c>
      <c r="C383" s="18" t="s">
        <v>263</v>
      </c>
    </row>
    <row r="384" spans="1:3" x14ac:dyDescent="0.25">
      <c r="A384">
        <v>383</v>
      </c>
    </row>
    <row r="385" spans="1:3" ht="15.75" x14ac:dyDescent="0.25">
      <c r="A385">
        <v>384</v>
      </c>
      <c r="C385" s="30" t="s">
        <v>264</v>
      </c>
    </row>
    <row r="386" spans="1:3" x14ac:dyDescent="0.25">
      <c r="A386">
        <v>385</v>
      </c>
    </row>
    <row r="387" spans="1:3" ht="15.75" x14ac:dyDescent="0.25">
      <c r="A387">
        <v>386</v>
      </c>
      <c r="C387" s="30" t="s">
        <v>265</v>
      </c>
    </row>
    <row r="388" spans="1:3" x14ac:dyDescent="0.25">
      <c r="A388">
        <v>387</v>
      </c>
    </row>
    <row r="389" spans="1:3" ht="15.75" x14ac:dyDescent="0.25">
      <c r="A389">
        <v>388</v>
      </c>
      <c r="C389" s="30" t="s">
        <v>266</v>
      </c>
    </row>
    <row r="390" spans="1:3" x14ac:dyDescent="0.25">
      <c r="A390">
        <v>389</v>
      </c>
    </row>
    <row r="391" spans="1:3" ht="15.75" x14ac:dyDescent="0.25">
      <c r="A391">
        <v>390</v>
      </c>
      <c r="C391" s="30" t="s">
        <v>267</v>
      </c>
    </row>
    <row r="392" spans="1:3" x14ac:dyDescent="0.25">
      <c r="A392">
        <v>391</v>
      </c>
    </row>
    <row r="393" spans="1:3" ht="15.75" x14ac:dyDescent="0.25">
      <c r="A393">
        <v>392</v>
      </c>
      <c r="C393" s="6" t="s">
        <v>268</v>
      </c>
    </row>
    <row r="394" spans="1:3" x14ac:dyDescent="0.25">
      <c r="A394">
        <v>393</v>
      </c>
      <c r="C394" s="2"/>
    </row>
    <row r="395" spans="1:3" x14ac:dyDescent="0.25">
      <c r="A395">
        <v>394</v>
      </c>
    </row>
    <row r="396" spans="1:3" x14ac:dyDescent="0.25">
      <c r="A396">
        <v>395</v>
      </c>
    </row>
    <row r="397" spans="1:3" ht="22.5" x14ac:dyDescent="0.25">
      <c r="A397">
        <v>396</v>
      </c>
      <c r="C397" s="21" t="s">
        <v>269</v>
      </c>
    </row>
    <row r="398" spans="1:3" x14ac:dyDescent="0.25">
      <c r="A398">
        <v>397</v>
      </c>
    </row>
    <row r="399" spans="1:3" ht="17.25" x14ac:dyDescent="0.25">
      <c r="A399">
        <v>398</v>
      </c>
      <c r="C399" s="18" t="s">
        <v>270</v>
      </c>
    </row>
    <row r="400" spans="1:3" x14ac:dyDescent="0.25">
      <c r="A400">
        <v>399</v>
      </c>
    </row>
    <row r="401" spans="1:3" ht="30" x14ac:dyDescent="0.25">
      <c r="A401">
        <v>400</v>
      </c>
      <c r="C401" s="1" t="s">
        <v>271</v>
      </c>
    </row>
    <row r="402" spans="1:3" x14ac:dyDescent="0.25">
      <c r="A402">
        <v>401</v>
      </c>
    </row>
    <row r="403" spans="1:3" ht="17.25" x14ac:dyDescent="0.25">
      <c r="A403">
        <v>402</v>
      </c>
      <c r="C403" s="18" t="s">
        <v>258</v>
      </c>
    </row>
    <row r="404" spans="1:3" x14ac:dyDescent="0.25">
      <c r="A404">
        <v>403</v>
      </c>
    </row>
    <row r="405" spans="1:3" ht="15.75" x14ac:dyDescent="0.25">
      <c r="A405">
        <v>404</v>
      </c>
      <c r="C405" s="30" t="s">
        <v>272</v>
      </c>
    </row>
    <row r="406" spans="1:3" x14ac:dyDescent="0.25">
      <c r="A406">
        <v>405</v>
      </c>
    </row>
    <row r="407" spans="1:3" ht="15.75" x14ac:dyDescent="0.25">
      <c r="A407">
        <v>406</v>
      </c>
      <c r="C407" s="30" t="s">
        <v>273</v>
      </c>
    </row>
    <row r="408" spans="1:3" x14ac:dyDescent="0.25">
      <c r="A408">
        <v>407</v>
      </c>
    </row>
    <row r="409" spans="1:3" ht="15.75" x14ac:dyDescent="0.25">
      <c r="A409">
        <v>408</v>
      </c>
      <c r="C409" s="30" t="s">
        <v>274</v>
      </c>
    </row>
    <row r="410" spans="1:3" x14ac:dyDescent="0.25">
      <c r="A410">
        <v>409</v>
      </c>
    </row>
    <row r="411" spans="1:3" ht="17.25" x14ac:dyDescent="0.25">
      <c r="A411">
        <v>410</v>
      </c>
      <c r="C411" s="18" t="s">
        <v>275</v>
      </c>
    </row>
    <row r="412" spans="1:3" x14ac:dyDescent="0.25">
      <c r="A412">
        <v>411</v>
      </c>
    </row>
    <row r="413" spans="1:3" ht="15.75" x14ac:dyDescent="0.25">
      <c r="A413">
        <v>412</v>
      </c>
      <c r="C413" s="30" t="s">
        <v>276</v>
      </c>
    </row>
    <row r="414" spans="1:3" x14ac:dyDescent="0.25">
      <c r="A414">
        <v>413</v>
      </c>
    </row>
    <row r="415" spans="1:3" ht="15.75" x14ac:dyDescent="0.25">
      <c r="A415">
        <v>414</v>
      </c>
      <c r="C415" s="30" t="s">
        <v>277</v>
      </c>
    </row>
    <row r="416" spans="1:3" x14ac:dyDescent="0.25">
      <c r="A416">
        <v>415</v>
      </c>
    </row>
    <row r="417" spans="1:3" ht="15.75" x14ac:dyDescent="0.25">
      <c r="A417">
        <v>416</v>
      </c>
      <c r="C417" s="30" t="s">
        <v>278</v>
      </c>
    </row>
    <row r="418" spans="1:3" x14ac:dyDescent="0.25">
      <c r="A418">
        <v>417</v>
      </c>
    </row>
    <row r="419" spans="1:3" ht="15.75" x14ac:dyDescent="0.25">
      <c r="A419">
        <v>418</v>
      </c>
      <c r="C419" s="6" t="s">
        <v>279</v>
      </c>
    </row>
    <row r="420" spans="1:3" x14ac:dyDescent="0.25">
      <c r="A420">
        <v>419</v>
      </c>
      <c r="C420" s="2"/>
    </row>
    <row r="421" spans="1:3" x14ac:dyDescent="0.25">
      <c r="A421">
        <v>420</v>
      </c>
    </row>
    <row r="422" spans="1:3" x14ac:dyDescent="0.25">
      <c r="A422">
        <v>421</v>
      </c>
    </row>
    <row r="423" spans="1:3" ht="22.5" x14ac:dyDescent="0.25">
      <c r="A423">
        <v>422</v>
      </c>
      <c r="C423" s="21" t="s">
        <v>280</v>
      </c>
    </row>
    <row r="424" spans="1:3" x14ac:dyDescent="0.25">
      <c r="A424">
        <v>423</v>
      </c>
    </row>
    <row r="425" spans="1:3" ht="15.75" x14ac:dyDescent="0.25">
      <c r="A425">
        <v>424</v>
      </c>
      <c r="C425" s="6" t="s">
        <v>281</v>
      </c>
    </row>
    <row r="426" spans="1:3" x14ac:dyDescent="0.25">
      <c r="A426">
        <v>425</v>
      </c>
    </row>
    <row r="427" spans="1:3" ht="45" x14ac:dyDescent="0.25">
      <c r="A427">
        <v>426</v>
      </c>
      <c r="C427" s="1" t="s">
        <v>282</v>
      </c>
    </row>
    <row r="428" spans="1:3" x14ac:dyDescent="0.25">
      <c r="A428">
        <v>427</v>
      </c>
    </row>
    <row r="429" spans="1:3" ht="17.25" x14ac:dyDescent="0.25">
      <c r="A429">
        <v>428</v>
      </c>
      <c r="C429" s="18" t="s">
        <v>258</v>
      </c>
    </row>
    <row r="430" spans="1:3" x14ac:dyDescent="0.25">
      <c r="A430">
        <v>429</v>
      </c>
    </row>
    <row r="431" spans="1:3" ht="15.75" x14ac:dyDescent="0.25">
      <c r="A431">
        <v>430</v>
      </c>
      <c r="C431" s="6" t="s">
        <v>283</v>
      </c>
    </row>
    <row r="432" spans="1:3" ht="15.75" x14ac:dyDescent="0.25">
      <c r="A432">
        <v>431</v>
      </c>
      <c r="C432" s="6" t="s">
        <v>284</v>
      </c>
    </row>
    <row r="433" spans="1:3" x14ac:dyDescent="0.25">
      <c r="A433">
        <v>432</v>
      </c>
    </row>
    <row r="434" spans="1:3" ht="15.75" x14ac:dyDescent="0.25">
      <c r="A434">
        <v>433</v>
      </c>
      <c r="C434" s="6" t="s">
        <v>285</v>
      </c>
    </row>
    <row r="435" spans="1:3" x14ac:dyDescent="0.25">
      <c r="A435">
        <v>434</v>
      </c>
      <c r="C435" s="2"/>
    </row>
    <row r="436" spans="1:3" x14ac:dyDescent="0.25">
      <c r="A436">
        <v>435</v>
      </c>
    </row>
    <row r="437" spans="1:3" x14ac:dyDescent="0.25">
      <c r="A437">
        <v>436</v>
      </c>
    </row>
    <row r="438" spans="1:3" ht="22.5" x14ac:dyDescent="0.25">
      <c r="A438">
        <v>437</v>
      </c>
      <c r="C438" s="21" t="s">
        <v>286</v>
      </c>
    </row>
    <row r="439" spans="1:3" x14ac:dyDescent="0.25">
      <c r="A439">
        <v>438</v>
      </c>
    </row>
    <row r="440" spans="1:3" ht="15.75" x14ac:dyDescent="0.25">
      <c r="A440">
        <v>439</v>
      </c>
      <c r="C440" s="6" t="s">
        <v>287</v>
      </c>
    </row>
    <row r="441" spans="1:3" x14ac:dyDescent="0.25">
      <c r="A441">
        <v>440</v>
      </c>
    </row>
    <row r="442" spans="1:3" ht="15.75" x14ac:dyDescent="0.25">
      <c r="A442">
        <v>441</v>
      </c>
      <c r="C442" s="6" t="s">
        <v>288</v>
      </c>
    </row>
    <row r="443" spans="1:3" x14ac:dyDescent="0.25">
      <c r="A443">
        <v>442</v>
      </c>
    </row>
    <row r="444" spans="1:3" ht="15.75" x14ac:dyDescent="0.25">
      <c r="A444">
        <v>443</v>
      </c>
      <c r="C444" s="30" t="s">
        <v>289</v>
      </c>
    </row>
    <row r="445" spans="1:3" x14ac:dyDescent="0.25">
      <c r="A445">
        <v>444</v>
      </c>
    </row>
    <row r="446" spans="1:3" ht="15.75" x14ac:dyDescent="0.25">
      <c r="A446">
        <v>445</v>
      </c>
      <c r="C446" s="30" t="s">
        <v>290</v>
      </c>
    </row>
    <row r="447" spans="1:3" x14ac:dyDescent="0.25">
      <c r="A447">
        <v>446</v>
      </c>
    </row>
    <row r="448" spans="1:3" ht="15.75" x14ac:dyDescent="0.25">
      <c r="A448">
        <v>447</v>
      </c>
      <c r="C448" s="30" t="s">
        <v>291</v>
      </c>
    </row>
    <row r="449" spans="1:3" x14ac:dyDescent="0.25">
      <c r="A449">
        <v>448</v>
      </c>
    </row>
    <row r="450" spans="1:3" ht="15.75" x14ac:dyDescent="0.25">
      <c r="A450">
        <v>449</v>
      </c>
      <c r="C450" s="6" t="s">
        <v>292</v>
      </c>
    </row>
    <row r="451" spans="1:3" x14ac:dyDescent="0.25">
      <c r="A451">
        <v>450</v>
      </c>
    </row>
    <row r="452" spans="1:3" ht="15.75" x14ac:dyDescent="0.25">
      <c r="A452">
        <v>451</v>
      </c>
      <c r="C452" s="30" t="s">
        <v>293</v>
      </c>
    </row>
    <row r="453" spans="1:3" x14ac:dyDescent="0.25">
      <c r="A453">
        <v>452</v>
      </c>
    </row>
    <row r="454" spans="1:3" ht="15.75" x14ac:dyDescent="0.25">
      <c r="A454">
        <v>453</v>
      </c>
      <c r="C454" s="30" t="s">
        <v>294</v>
      </c>
    </row>
    <row r="455" spans="1:3" x14ac:dyDescent="0.25">
      <c r="A455">
        <v>454</v>
      </c>
    </row>
    <row r="456" spans="1:3" ht="15.75" x14ac:dyDescent="0.25">
      <c r="A456">
        <v>455</v>
      </c>
      <c r="C456" s="30" t="s">
        <v>295</v>
      </c>
    </row>
    <row r="457" spans="1:3" x14ac:dyDescent="0.25">
      <c r="A457">
        <v>456</v>
      </c>
    </row>
    <row r="458" spans="1:3" ht="15.75" x14ac:dyDescent="0.25">
      <c r="A458">
        <v>457</v>
      </c>
      <c r="C458" s="30" t="s">
        <v>296</v>
      </c>
    </row>
    <row r="459" spans="1:3" x14ac:dyDescent="0.25">
      <c r="A459">
        <v>458</v>
      </c>
    </row>
    <row r="460" spans="1:3" ht="15.75" x14ac:dyDescent="0.25">
      <c r="A460">
        <v>459</v>
      </c>
      <c r="C460" s="6" t="s">
        <v>297</v>
      </c>
    </row>
    <row r="461" spans="1:3" x14ac:dyDescent="0.25">
      <c r="A461">
        <v>460</v>
      </c>
    </row>
    <row r="462" spans="1:3" ht="15.75" x14ac:dyDescent="0.25">
      <c r="A462">
        <v>461</v>
      </c>
      <c r="C462" s="6" t="s">
        <v>298</v>
      </c>
    </row>
    <row r="463" spans="1:3" x14ac:dyDescent="0.25">
      <c r="A463">
        <v>462</v>
      </c>
    </row>
    <row r="464" spans="1:3" ht="15.75" x14ac:dyDescent="0.25">
      <c r="A464">
        <v>463</v>
      </c>
      <c r="C464" s="30" t="s">
        <v>299</v>
      </c>
    </row>
    <row r="465" spans="1:3" x14ac:dyDescent="0.25">
      <c r="A465">
        <v>464</v>
      </c>
    </row>
    <row r="466" spans="1:3" ht="15.75" x14ac:dyDescent="0.25">
      <c r="A466">
        <v>465</v>
      </c>
      <c r="C466" s="30" t="s">
        <v>300</v>
      </c>
    </row>
    <row r="467" spans="1:3" x14ac:dyDescent="0.25">
      <c r="A467">
        <v>466</v>
      </c>
    </row>
    <row r="468" spans="1:3" ht="15.75" x14ac:dyDescent="0.25">
      <c r="A468">
        <v>467</v>
      </c>
      <c r="C468" s="30" t="s">
        <v>301</v>
      </c>
    </row>
    <row r="469" spans="1:3" x14ac:dyDescent="0.25">
      <c r="A469">
        <v>468</v>
      </c>
      <c r="C469" s="2"/>
    </row>
    <row r="470" spans="1:3" x14ac:dyDescent="0.25">
      <c r="A470">
        <v>469</v>
      </c>
    </row>
    <row r="471" spans="1:3" x14ac:dyDescent="0.25">
      <c r="A471">
        <v>470</v>
      </c>
    </row>
    <row r="472" spans="1:3" ht="22.5" x14ac:dyDescent="0.25">
      <c r="A472">
        <v>471</v>
      </c>
      <c r="C472" s="21" t="s">
        <v>302</v>
      </c>
    </row>
    <row r="473" spans="1:3" x14ac:dyDescent="0.25">
      <c r="A473">
        <v>472</v>
      </c>
    </row>
    <row r="474" spans="1:3" ht="15.75" x14ac:dyDescent="0.25">
      <c r="A474">
        <v>473</v>
      </c>
      <c r="C474" s="6" t="s">
        <v>303</v>
      </c>
    </row>
    <row r="475" spans="1:3" x14ac:dyDescent="0.25">
      <c r="A475">
        <v>474</v>
      </c>
    </row>
    <row r="476" spans="1:3" ht="15.75" x14ac:dyDescent="0.25">
      <c r="A476">
        <v>475</v>
      </c>
      <c r="C476" s="30" t="s">
        <v>304</v>
      </c>
    </row>
    <row r="477" spans="1:3" x14ac:dyDescent="0.25">
      <c r="A477">
        <v>476</v>
      </c>
    </row>
    <row r="478" spans="1:3" ht="15.75" x14ac:dyDescent="0.25">
      <c r="A478">
        <v>477</v>
      </c>
      <c r="C478" s="30" t="s">
        <v>305</v>
      </c>
    </row>
    <row r="479" spans="1:3" x14ac:dyDescent="0.25">
      <c r="A479">
        <v>478</v>
      </c>
    </row>
    <row r="480" spans="1:3" ht="15.75" x14ac:dyDescent="0.25">
      <c r="A480">
        <v>479</v>
      </c>
      <c r="C480" s="30" t="s">
        <v>306</v>
      </c>
    </row>
    <row r="481" spans="1:3" x14ac:dyDescent="0.25">
      <c r="A481">
        <v>480</v>
      </c>
    </row>
    <row r="482" spans="1:3" ht="15.75" x14ac:dyDescent="0.25">
      <c r="A482">
        <v>481</v>
      </c>
      <c r="C482" s="6" t="s">
        <v>307</v>
      </c>
    </row>
    <row r="483" spans="1:3" x14ac:dyDescent="0.25">
      <c r="A483">
        <v>482</v>
      </c>
    </row>
    <row r="484" spans="1:3" ht="15.75" x14ac:dyDescent="0.25">
      <c r="A484">
        <v>483</v>
      </c>
      <c r="C484" s="6" t="s">
        <v>308</v>
      </c>
    </row>
    <row r="485" spans="1:3" x14ac:dyDescent="0.25">
      <c r="A485">
        <v>484</v>
      </c>
    </row>
    <row r="486" spans="1:3" ht="15.75" x14ac:dyDescent="0.25">
      <c r="A486">
        <v>485</v>
      </c>
      <c r="C486" s="30" t="s">
        <v>309</v>
      </c>
    </row>
    <row r="487" spans="1:3" x14ac:dyDescent="0.25">
      <c r="A487">
        <v>486</v>
      </c>
    </row>
    <row r="488" spans="1:3" ht="15.75" x14ac:dyDescent="0.25">
      <c r="A488">
        <v>487</v>
      </c>
      <c r="C488" s="30" t="s">
        <v>310</v>
      </c>
    </row>
    <row r="489" spans="1:3" x14ac:dyDescent="0.25">
      <c r="A489">
        <v>488</v>
      </c>
    </row>
    <row r="490" spans="1:3" ht="15.75" x14ac:dyDescent="0.25">
      <c r="A490">
        <v>489</v>
      </c>
      <c r="C490" s="6" t="s">
        <v>311</v>
      </c>
    </row>
    <row r="491" spans="1:3" x14ac:dyDescent="0.25">
      <c r="A491">
        <v>490</v>
      </c>
      <c r="C491" s="2"/>
    </row>
    <row r="492" spans="1:3" x14ac:dyDescent="0.25">
      <c r="A492">
        <v>491</v>
      </c>
    </row>
    <row r="493" spans="1:3" ht="22.5" x14ac:dyDescent="0.25">
      <c r="A493">
        <v>492</v>
      </c>
      <c r="C493" s="21" t="s">
        <v>312</v>
      </c>
    </row>
    <row r="494" spans="1:3" x14ac:dyDescent="0.25">
      <c r="A494">
        <v>493</v>
      </c>
    </row>
    <row r="495" spans="1:3" ht="15.75" x14ac:dyDescent="0.25">
      <c r="A495">
        <v>494</v>
      </c>
      <c r="C495" s="6" t="s">
        <v>258</v>
      </c>
    </row>
    <row r="496" spans="1:3" x14ac:dyDescent="0.25">
      <c r="A496">
        <v>495</v>
      </c>
    </row>
    <row r="497" spans="1:3" ht="15.75" x14ac:dyDescent="0.25">
      <c r="A497">
        <v>496</v>
      </c>
      <c r="C497" s="30" t="s">
        <v>313</v>
      </c>
    </row>
    <row r="498" spans="1:3" x14ac:dyDescent="0.25">
      <c r="A498">
        <v>497</v>
      </c>
    </row>
    <row r="499" spans="1:3" ht="15.75" x14ac:dyDescent="0.25">
      <c r="A499">
        <v>498</v>
      </c>
      <c r="C499" s="30" t="s">
        <v>314</v>
      </c>
    </row>
    <row r="500" spans="1:3" x14ac:dyDescent="0.25">
      <c r="A500">
        <v>499</v>
      </c>
    </row>
    <row r="501" spans="1:3" ht="15.75" x14ac:dyDescent="0.25">
      <c r="A501">
        <v>500</v>
      </c>
      <c r="C501" s="30" t="s">
        <v>315</v>
      </c>
    </row>
    <row r="502" spans="1:3" x14ac:dyDescent="0.25">
      <c r="A502">
        <v>501</v>
      </c>
    </row>
    <row r="503" spans="1:3" ht="15.75" x14ac:dyDescent="0.25">
      <c r="A503">
        <v>502</v>
      </c>
      <c r="C503" s="6" t="s">
        <v>316</v>
      </c>
    </row>
    <row r="504" spans="1:3" x14ac:dyDescent="0.25">
      <c r="A504">
        <v>503</v>
      </c>
    </row>
    <row r="505" spans="1:3" ht="15.75" x14ac:dyDescent="0.25">
      <c r="A505">
        <v>504</v>
      </c>
      <c r="C505" s="30" t="s">
        <v>317</v>
      </c>
    </row>
    <row r="506" spans="1:3" x14ac:dyDescent="0.25">
      <c r="A506">
        <v>505</v>
      </c>
    </row>
    <row r="507" spans="1:3" ht="15.75" x14ac:dyDescent="0.25">
      <c r="A507">
        <v>506</v>
      </c>
      <c r="C507" s="30" t="s">
        <v>318</v>
      </c>
    </row>
    <row r="508" spans="1:3" x14ac:dyDescent="0.25">
      <c r="A508">
        <v>507</v>
      </c>
    </row>
    <row r="509" spans="1:3" ht="15.75" x14ac:dyDescent="0.25">
      <c r="A509">
        <v>508</v>
      </c>
      <c r="C509" s="30" t="s">
        <v>319</v>
      </c>
    </row>
    <row r="510" spans="1:3" x14ac:dyDescent="0.25">
      <c r="A510">
        <v>509</v>
      </c>
    </row>
    <row r="511" spans="1:3" ht="15.75" x14ac:dyDescent="0.25">
      <c r="A511">
        <v>510</v>
      </c>
      <c r="C511" s="6" t="s">
        <v>320</v>
      </c>
    </row>
    <row r="512" spans="1:3" x14ac:dyDescent="0.25">
      <c r="A512">
        <v>511</v>
      </c>
      <c r="C512" s="2"/>
    </row>
    <row r="513" spans="1:3" x14ac:dyDescent="0.25">
      <c r="A513">
        <v>512</v>
      </c>
    </row>
    <row r="514" spans="1:3" ht="22.5" x14ac:dyDescent="0.25">
      <c r="A514">
        <v>513</v>
      </c>
      <c r="C514" s="21" t="s">
        <v>321</v>
      </c>
    </row>
    <row r="515" spans="1:3" x14ac:dyDescent="0.25">
      <c r="A515">
        <v>514</v>
      </c>
    </row>
    <row r="516" spans="1:3" ht="15.75" x14ac:dyDescent="0.25">
      <c r="A516">
        <v>515</v>
      </c>
      <c r="C516" s="6" t="s">
        <v>322</v>
      </c>
    </row>
    <row r="517" spans="1:3" x14ac:dyDescent="0.25">
      <c r="A517">
        <v>516</v>
      </c>
    </row>
    <row r="518" spans="1:3" ht="15.75" x14ac:dyDescent="0.25">
      <c r="A518">
        <v>517</v>
      </c>
      <c r="C518" s="6" t="s">
        <v>323</v>
      </c>
    </row>
    <row r="519" spans="1:3" x14ac:dyDescent="0.25">
      <c r="A519">
        <v>518</v>
      </c>
    </row>
    <row r="520" spans="1:3" ht="15.75" x14ac:dyDescent="0.25">
      <c r="A520">
        <v>519</v>
      </c>
      <c r="C520" s="30" t="s">
        <v>324</v>
      </c>
    </row>
    <row r="521" spans="1:3" x14ac:dyDescent="0.25">
      <c r="A521">
        <v>520</v>
      </c>
    </row>
    <row r="522" spans="1:3" ht="15.75" x14ac:dyDescent="0.25">
      <c r="A522">
        <v>521</v>
      </c>
      <c r="C522" s="30" t="s">
        <v>325</v>
      </c>
    </row>
    <row r="523" spans="1:3" x14ac:dyDescent="0.25">
      <c r="A523">
        <v>522</v>
      </c>
    </row>
    <row r="524" spans="1:3" ht="15.75" x14ac:dyDescent="0.25">
      <c r="A524">
        <v>523</v>
      </c>
      <c r="C524" s="6" t="s">
        <v>326</v>
      </c>
    </row>
    <row r="525" spans="1:3" x14ac:dyDescent="0.25">
      <c r="A525">
        <v>524</v>
      </c>
    </row>
    <row r="526" spans="1:3" ht="20.25" x14ac:dyDescent="0.25">
      <c r="A526">
        <v>525</v>
      </c>
      <c r="C526" s="31" t="s">
        <v>327</v>
      </c>
    </row>
    <row r="527" spans="1:3" x14ac:dyDescent="0.25">
      <c r="A527">
        <v>526</v>
      </c>
    </row>
    <row r="528" spans="1:3" ht="15.75" x14ac:dyDescent="0.25">
      <c r="A528">
        <v>527</v>
      </c>
      <c r="C528" s="6" t="s">
        <v>328</v>
      </c>
    </row>
    <row r="529" spans="1:3" x14ac:dyDescent="0.25">
      <c r="A529">
        <v>528</v>
      </c>
    </row>
    <row r="530" spans="1:3" ht="15.75" x14ac:dyDescent="0.25">
      <c r="A530">
        <v>529</v>
      </c>
      <c r="C530" s="6" t="s">
        <v>329</v>
      </c>
    </row>
    <row r="531" spans="1:3" ht="15.75" x14ac:dyDescent="0.25">
      <c r="A531">
        <v>530</v>
      </c>
      <c r="C531" s="6" t="s">
        <v>330</v>
      </c>
    </row>
    <row r="532" spans="1:3" ht="15.75" x14ac:dyDescent="0.25">
      <c r="A532">
        <v>531</v>
      </c>
      <c r="C532" s="6" t="s">
        <v>331</v>
      </c>
    </row>
    <row r="533" spans="1:3" ht="15.75" x14ac:dyDescent="0.25">
      <c r="A533">
        <v>532</v>
      </c>
      <c r="C533" s="6" t="s">
        <v>332</v>
      </c>
    </row>
    <row r="534" spans="1:3" ht="15.75" x14ac:dyDescent="0.25">
      <c r="A534">
        <v>533</v>
      </c>
      <c r="C534" s="6" t="s">
        <v>333</v>
      </c>
    </row>
    <row r="535" spans="1:3" ht="15.75" x14ac:dyDescent="0.25">
      <c r="A535">
        <v>534</v>
      </c>
      <c r="C535" s="6" t="s">
        <v>334</v>
      </c>
    </row>
    <row r="536" spans="1:3" ht="15.75" x14ac:dyDescent="0.25">
      <c r="A536">
        <v>535</v>
      </c>
      <c r="C536" s="6" t="s">
        <v>335</v>
      </c>
    </row>
    <row r="537" spans="1:3" ht="15.75" x14ac:dyDescent="0.25">
      <c r="A537">
        <v>536</v>
      </c>
      <c r="C537" s="6" t="s">
        <v>336</v>
      </c>
    </row>
    <row r="538" spans="1:3" x14ac:dyDescent="0.25">
      <c r="A538">
        <v>537</v>
      </c>
    </row>
    <row r="539" spans="1:3" ht="15.75" x14ac:dyDescent="0.25">
      <c r="A539">
        <v>538</v>
      </c>
      <c r="C539" s="6" t="s">
        <v>337</v>
      </c>
    </row>
    <row r="540" spans="1:3" x14ac:dyDescent="0.25">
      <c r="A540">
        <v>539</v>
      </c>
    </row>
    <row r="541" spans="1:3" ht="20.25" x14ac:dyDescent="0.25">
      <c r="A541">
        <v>540</v>
      </c>
      <c r="C541" s="32" t="s">
        <v>338</v>
      </c>
    </row>
    <row r="542" spans="1:3" x14ac:dyDescent="0.25">
      <c r="A542">
        <v>541</v>
      </c>
    </row>
    <row r="543" spans="1:3" ht="15.75" x14ac:dyDescent="0.25">
      <c r="A543">
        <v>542</v>
      </c>
      <c r="C543" s="13" t="s">
        <v>339</v>
      </c>
    </row>
    <row r="544" spans="1:3" x14ac:dyDescent="0.25">
      <c r="A544">
        <v>543</v>
      </c>
    </row>
    <row r="545" spans="1:3" ht="15.75" x14ac:dyDescent="0.25">
      <c r="A545">
        <v>544</v>
      </c>
      <c r="C545" s="28" t="s">
        <v>340</v>
      </c>
    </row>
    <row r="546" spans="1:3" x14ac:dyDescent="0.25">
      <c r="A546">
        <v>545</v>
      </c>
    </row>
    <row r="547" spans="1:3" ht="15.75" x14ac:dyDescent="0.25">
      <c r="A547">
        <v>546</v>
      </c>
      <c r="C547" s="28" t="s">
        <v>341</v>
      </c>
    </row>
    <row r="548" spans="1:3" x14ac:dyDescent="0.25">
      <c r="A548">
        <v>547</v>
      </c>
    </row>
    <row r="549" spans="1:3" ht="15.75" x14ac:dyDescent="0.25">
      <c r="A549">
        <v>548</v>
      </c>
      <c r="C549" s="28" t="s">
        <v>342</v>
      </c>
    </row>
    <row r="550" spans="1:3" x14ac:dyDescent="0.25">
      <c r="A550">
        <v>549</v>
      </c>
    </row>
    <row r="551" spans="1:3" ht="15.75" x14ac:dyDescent="0.25">
      <c r="A551">
        <v>550</v>
      </c>
      <c r="C551" s="28" t="s">
        <v>343</v>
      </c>
    </row>
    <row r="552" spans="1:3" x14ac:dyDescent="0.25">
      <c r="A552">
        <v>551</v>
      </c>
    </row>
    <row r="553" spans="1:3" ht="15.75" x14ac:dyDescent="0.25">
      <c r="A553">
        <v>552</v>
      </c>
      <c r="C553" s="28" t="s">
        <v>344</v>
      </c>
    </row>
    <row r="554" spans="1:3" x14ac:dyDescent="0.25">
      <c r="A554">
        <v>553</v>
      </c>
    </row>
    <row r="555" spans="1:3" ht="15.75" x14ac:dyDescent="0.25">
      <c r="A555">
        <v>554</v>
      </c>
      <c r="C555" s="29"/>
    </row>
    <row r="556" spans="1:3" ht="15.75" x14ac:dyDescent="0.25">
      <c r="A556">
        <v>555</v>
      </c>
      <c r="C556" s="29"/>
    </row>
    <row r="557" spans="1:3" ht="15.75" x14ac:dyDescent="0.25">
      <c r="A557">
        <v>556</v>
      </c>
      <c r="C557" s="29" t="s">
        <v>345</v>
      </c>
    </row>
    <row r="558" spans="1:3" ht="17.25" x14ac:dyDescent="0.25">
      <c r="A558">
        <v>557</v>
      </c>
      <c r="C558" s="33" t="s">
        <v>346</v>
      </c>
    </row>
    <row r="559" spans="1:3" ht="17.25" x14ac:dyDescent="0.25">
      <c r="A559">
        <v>558</v>
      </c>
      <c r="C559" s="33" t="s">
        <v>347</v>
      </c>
    </row>
    <row r="560" spans="1:3" ht="17.25" x14ac:dyDescent="0.25">
      <c r="A560">
        <v>559</v>
      </c>
      <c r="C560" s="33" t="s">
        <v>348</v>
      </c>
    </row>
    <row r="561" spans="1:3" ht="17.25" x14ac:dyDescent="0.25">
      <c r="A561">
        <v>560</v>
      </c>
      <c r="C561" s="33" t="s">
        <v>349</v>
      </c>
    </row>
    <row r="562" spans="1:3" ht="17.25" x14ac:dyDescent="0.25">
      <c r="A562">
        <v>561</v>
      </c>
      <c r="C562" s="33" t="s">
        <v>350</v>
      </c>
    </row>
    <row r="563" spans="1:3" ht="17.25" x14ac:dyDescent="0.25">
      <c r="A563">
        <v>562</v>
      </c>
      <c r="C563" s="33" t="s">
        <v>351</v>
      </c>
    </row>
    <row r="564" spans="1:3" ht="15.75" x14ac:dyDescent="0.25">
      <c r="A564">
        <v>563</v>
      </c>
      <c r="C564" s="29"/>
    </row>
    <row r="565" spans="1:3" ht="15.75" x14ac:dyDescent="0.25">
      <c r="A565">
        <v>564</v>
      </c>
      <c r="C565" s="29" t="s">
        <v>352</v>
      </c>
    </row>
    <row r="566" spans="1:3" ht="15.75" x14ac:dyDescent="0.25">
      <c r="A566">
        <v>565</v>
      </c>
      <c r="C566" s="29"/>
    </row>
    <row r="567" spans="1:3" ht="15.75" x14ac:dyDescent="0.25">
      <c r="A567">
        <v>566</v>
      </c>
      <c r="C567" s="29"/>
    </row>
    <row r="568" spans="1:3" x14ac:dyDescent="0.25">
      <c r="A568">
        <v>567</v>
      </c>
      <c r="C568" s="2" t="s">
        <v>353</v>
      </c>
    </row>
    <row r="569" spans="1:3" ht="15.75" x14ac:dyDescent="0.25">
      <c r="A569">
        <v>568</v>
      </c>
      <c r="C569" s="29"/>
    </row>
    <row r="570" spans="1:3" ht="15.75" x14ac:dyDescent="0.25">
      <c r="A570">
        <v>569</v>
      </c>
      <c r="C570" s="29" t="s">
        <v>354</v>
      </c>
    </row>
    <row r="571" spans="1:3" ht="15.75" x14ac:dyDescent="0.25">
      <c r="A571">
        <v>570</v>
      </c>
      <c r="C571" s="29" t="s">
        <v>355</v>
      </c>
    </row>
    <row r="572" spans="1:3" ht="15.75" x14ac:dyDescent="0.25">
      <c r="A572">
        <v>571</v>
      </c>
      <c r="C572" s="29" t="s">
        <v>356</v>
      </c>
    </row>
    <row r="573" spans="1:3" ht="15.75" x14ac:dyDescent="0.25">
      <c r="A573">
        <v>572</v>
      </c>
      <c r="C573" s="29" t="s">
        <v>357</v>
      </c>
    </row>
    <row r="574" spans="1:3" ht="15.75" x14ac:dyDescent="0.25">
      <c r="A574">
        <v>573</v>
      </c>
      <c r="C574" s="29" t="s">
        <v>358</v>
      </c>
    </row>
    <row r="575" spans="1:3" ht="15.75" x14ac:dyDescent="0.25">
      <c r="A575">
        <v>574</v>
      </c>
      <c r="C575" s="29" t="s">
        <v>359</v>
      </c>
    </row>
    <row r="576" spans="1:3" ht="15.75" x14ac:dyDescent="0.25">
      <c r="A576">
        <v>575</v>
      </c>
      <c r="C576" s="29" t="s">
        <v>360</v>
      </c>
    </row>
    <row r="577" spans="1:3" ht="15.75" x14ac:dyDescent="0.25">
      <c r="A577">
        <v>576</v>
      </c>
      <c r="C577" s="29" t="s">
        <v>356</v>
      </c>
    </row>
    <row r="578" spans="1:3" ht="15.75" x14ac:dyDescent="0.25">
      <c r="A578">
        <v>577</v>
      </c>
      <c r="C578" s="29" t="s">
        <v>357</v>
      </c>
    </row>
    <row r="579" spans="1:3" ht="15.75" x14ac:dyDescent="0.25">
      <c r="A579">
        <v>578</v>
      </c>
      <c r="C579" s="29" t="s">
        <v>358</v>
      </c>
    </row>
    <row r="580" spans="1:3" ht="15.75" x14ac:dyDescent="0.25">
      <c r="A580">
        <v>579</v>
      </c>
      <c r="C580" s="29" t="s">
        <v>361</v>
      </c>
    </row>
    <row r="581" spans="1:3" ht="15.75" x14ac:dyDescent="0.25">
      <c r="A581">
        <v>580</v>
      </c>
      <c r="C581" s="29" t="s">
        <v>362</v>
      </c>
    </row>
    <row r="582" spans="1:3" ht="15.75" x14ac:dyDescent="0.25">
      <c r="A582">
        <v>581</v>
      </c>
      <c r="C582" s="29" t="s">
        <v>356</v>
      </c>
    </row>
    <row r="583" spans="1:3" ht="15.75" x14ac:dyDescent="0.25">
      <c r="A583">
        <v>582</v>
      </c>
      <c r="C583" s="29" t="s">
        <v>357</v>
      </c>
    </row>
    <row r="584" spans="1:3" ht="15.75" x14ac:dyDescent="0.25">
      <c r="A584">
        <v>583</v>
      </c>
      <c r="C584" s="29" t="s">
        <v>358</v>
      </c>
    </row>
    <row r="585" spans="1:3" ht="15.75" x14ac:dyDescent="0.25">
      <c r="A585">
        <v>584</v>
      </c>
      <c r="C585" s="29" t="s">
        <v>363</v>
      </c>
    </row>
    <row r="586" spans="1:3" ht="15.75" x14ac:dyDescent="0.25">
      <c r="A586">
        <v>585</v>
      </c>
      <c r="C586" s="29" t="s">
        <v>356</v>
      </c>
    </row>
    <row r="587" spans="1:3" ht="15.75" x14ac:dyDescent="0.25">
      <c r="A587">
        <v>586</v>
      </c>
      <c r="C587" s="29" t="s">
        <v>357</v>
      </c>
    </row>
    <row r="588" spans="1:3" ht="15.75" x14ac:dyDescent="0.25">
      <c r="A588">
        <v>587</v>
      </c>
      <c r="C588" s="29" t="s">
        <v>358</v>
      </c>
    </row>
    <row r="589" spans="1:3" ht="15.75" x14ac:dyDescent="0.25">
      <c r="A589">
        <v>588</v>
      </c>
      <c r="C589" s="29" t="s">
        <v>364</v>
      </c>
    </row>
    <row r="590" spans="1:3" ht="15.75" x14ac:dyDescent="0.25">
      <c r="A590">
        <v>589</v>
      </c>
      <c r="C590" s="29" t="s">
        <v>356</v>
      </c>
    </row>
    <row r="591" spans="1:3" ht="15.75" x14ac:dyDescent="0.25">
      <c r="A591">
        <v>590</v>
      </c>
      <c r="C591" s="29" t="s">
        <v>357</v>
      </c>
    </row>
    <row r="592" spans="1:3" ht="15.75" x14ac:dyDescent="0.25">
      <c r="A592">
        <v>591</v>
      </c>
      <c r="C592" s="29" t="s">
        <v>358</v>
      </c>
    </row>
    <row r="593" spans="1:3" ht="15.75" x14ac:dyDescent="0.25">
      <c r="A593">
        <v>592</v>
      </c>
      <c r="C593" s="29" t="s">
        <v>365</v>
      </c>
    </row>
    <row r="594" spans="1:3" ht="15.75" x14ac:dyDescent="0.25">
      <c r="A594">
        <v>593</v>
      </c>
      <c r="C594" s="29" t="s">
        <v>366</v>
      </c>
    </row>
    <row r="595" spans="1:3" x14ac:dyDescent="0.25">
      <c r="A595">
        <v>594</v>
      </c>
      <c r="C595" s="34" t="s">
        <v>367</v>
      </c>
    </row>
    <row r="596" spans="1:3" ht="15.75" x14ac:dyDescent="0.25">
      <c r="A596">
        <v>595</v>
      </c>
      <c r="C596" s="22" t="s">
        <v>368</v>
      </c>
    </row>
    <row r="597" spans="1:3" ht="15.75" x14ac:dyDescent="0.25">
      <c r="A597">
        <v>596</v>
      </c>
      <c r="C597" s="22" t="s">
        <v>369</v>
      </c>
    </row>
    <row r="598" spans="1:3" ht="15.75" x14ac:dyDescent="0.25">
      <c r="A598">
        <v>597</v>
      </c>
      <c r="C598" s="22" t="s">
        <v>370</v>
      </c>
    </row>
    <row r="599" spans="1:3" ht="15.75" x14ac:dyDescent="0.25">
      <c r="A599">
        <v>598</v>
      </c>
      <c r="C599" s="22"/>
    </row>
    <row r="600" spans="1:3" x14ac:dyDescent="0.25">
      <c r="A600">
        <v>599</v>
      </c>
    </row>
    <row r="601" spans="1:3" ht="15.75" x14ac:dyDescent="0.25">
      <c r="A601">
        <v>600</v>
      </c>
      <c r="C601" s="22" t="s">
        <v>371</v>
      </c>
    </row>
    <row r="602" spans="1:3" ht="15.75" x14ac:dyDescent="0.25">
      <c r="A602">
        <v>601</v>
      </c>
      <c r="C602" s="35" t="s">
        <v>372</v>
      </c>
    </row>
    <row r="603" spans="1:3" x14ac:dyDescent="0.25">
      <c r="A603">
        <v>602</v>
      </c>
      <c r="C603" s="1"/>
    </row>
    <row r="604" spans="1:3" x14ac:dyDescent="0.25">
      <c r="A604">
        <v>603</v>
      </c>
    </row>
    <row r="605" spans="1:3" ht="15.75" x14ac:dyDescent="0.25">
      <c r="A605">
        <v>604</v>
      </c>
      <c r="C605" s="22"/>
    </row>
    <row r="606" spans="1:3" ht="15.75" x14ac:dyDescent="0.25">
      <c r="A606">
        <v>605</v>
      </c>
      <c r="C606" s="22"/>
    </row>
    <row r="607" spans="1:3" x14ac:dyDescent="0.25">
      <c r="A607">
        <v>606</v>
      </c>
    </row>
    <row r="608" spans="1:3" ht="22.5" x14ac:dyDescent="0.25">
      <c r="A608">
        <v>607</v>
      </c>
      <c r="C608" s="21" t="s">
        <v>373</v>
      </c>
    </row>
    <row r="609" spans="1:5" x14ac:dyDescent="0.25">
      <c r="A609">
        <v>608</v>
      </c>
    </row>
    <row r="610" spans="1:5" ht="60" x14ac:dyDescent="0.25">
      <c r="A610">
        <v>609</v>
      </c>
      <c r="C610" s="1"/>
      <c r="D610" s="3" t="s">
        <v>374</v>
      </c>
      <c r="E610" s="3" t="s">
        <v>375</v>
      </c>
    </row>
    <row r="611" spans="1:5" ht="90" x14ac:dyDescent="0.25">
      <c r="A611">
        <v>610</v>
      </c>
      <c r="C611" s="4" t="s">
        <v>376</v>
      </c>
      <c r="D611" s="1" t="s">
        <v>377</v>
      </c>
      <c r="E611" s="1" t="s">
        <v>378</v>
      </c>
    </row>
    <row r="612" spans="1:5" ht="150" x14ac:dyDescent="0.25">
      <c r="A612">
        <v>611</v>
      </c>
      <c r="C612" s="4" t="s">
        <v>379</v>
      </c>
      <c r="D612" s="1" t="s">
        <v>380</v>
      </c>
      <c r="E612" s="1" t="s">
        <v>381</v>
      </c>
    </row>
    <row r="613" spans="1:5" ht="75" x14ac:dyDescent="0.25">
      <c r="A613">
        <v>612</v>
      </c>
      <c r="C613" s="4" t="s">
        <v>382</v>
      </c>
      <c r="D613" s="1" t="s">
        <v>383</v>
      </c>
      <c r="E613" s="1" t="s">
        <v>384</v>
      </c>
    </row>
    <row r="614" spans="1:5" ht="15.75" x14ac:dyDescent="0.25">
      <c r="A614">
        <v>613</v>
      </c>
      <c r="C614" s="22"/>
    </row>
    <row r="615" spans="1:5" ht="17.25" x14ac:dyDescent="0.25">
      <c r="A615">
        <v>614</v>
      </c>
      <c r="C615" s="36" t="s">
        <v>385</v>
      </c>
    </row>
    <row r="616" spans="1:5" ht="34.5" x14ac:dyDescent="0.25">
      <c r="A616">
        <v>615</v>
      </c>
      <c r="C616" s="36" t="s">
        <v>386</v>
      </c>
    </row>
    <row r="617" spans="1:5" ht="15.75" x14ac:dyDescent="0.25">
      <c r="A617">
        <v>616</v>
      </c>
      <c r="C617" s="22"/>
    </row>
    <row r="618" spans="1:5" ht="51.75" x14ac:dyDescent="0.25">
      <c r="A618">
        <v>617</v>
      </c>
      <c r="C618" s="36" t="s">
        <v>387</v>
      </c>
    </row>
    <row r="619" spans="1:5" ht="17.25" x14ac:dyDescent="0.25">
      <c r="A619">
        <v>618</v>
      </c>
      <c r="C619" s="36" t="s">
        <v>388</v>
      </c>
    </row>
    <row r="620" spans="1:5" ht="51.75" x14ac:dyDescent="0.25">
      <c r="A620">
        <v>619</v>
      </c>
      <c r="C620" s="36" t="s">
        <v>389</v>
      </c>
    </row>
    <row r="621" spans="1:5" ht="15.75" x14ac:dyDescent="0.25">
      <c r="A621">
        <v>620</v>
      </c>
      <c r="C621" s="22"/>
    </row>
    <row r="622" spans="1:5" ht="17.25" x14ac:dyDescent="0.25">
      <c r="A622">
        <v>621</v>
      </c>
      <c r="C622" s="36" t="s">
        <v>390</v>
      </c>
    </row>
    <row r="623" spans="1:5" ht="34.5" x14ac:dyDescent="0.25">
      <c r="A623">
        <v>622</v>
      </c>
      <c r="C623" s="36" t="s">
        <v>391</v>
      </c>
    </row>
    <row r="624" spans="1:5" ht="17.25" x14ac:dyDescent="0.25">
      <c r="A624">
        <v>623</v>
      </c>
      <c r="C624" s="36" t="s">
        <v>392</v>
      </c>
    </row>
    <row r="625" spans="1:4" ht="15.75" x14ac:dyDescent="0.25">
      <c r="A625">
        <v>624</v>
      </c>
      <c r="C625" s="22"/>
    </row>
    <row r="626" spans="1:4" ht="15.75" x14ac:dyDescent="0.25">
      <c r="A626">
        <v>625</v>
      </c>
      <c r="C626" s="22"/>
    </row>
    <row r="627" spans="1:4" ht="15.75" x14ac:dyDescent="0.25">
      <c r="A627">
        <v>626</v>
      </c>
      <c r="C627" s="22"/>
    </row>
    <row r="628" spans="1:4" ht="15.75" x14ac:dyDescent="0.25">
      <c r="A628">
        <v>627</v>
      </c>
      <c r="C628" s="13" t="s">
        <v>393</v>
      </c>
    </row>
    <row r="629" spans="1:4" ht="15.75" x14ac:dyDescent="0.25">
      <c r="A629">
        <v>628</v>
      </c>
      <c r="C629" s="5" t="s">
        <v>394</v>
      </c>
      <c r="D629" s="5" t="s">
        <v>395</v>
      </c>
    </row>
    <row r="630" spans="1:4" ht="94.5" x14ac:dyDescent="0.25">
      <c r="A630">
        <v>629</v>
      </c>
      <c r="C630" s="6" t="s">
        <v>396</v>
      </c>
      <c r="D630" s="6" t="s">
        <v>397</v>
      </c>
    </row>
    <row r="631" spans="1:4" ht="141.75" x14ac:dyDescent="0.25">
      <c r="A631">
        <v>630</v>
      </c>
      <c r="C631" s="6" t="s">
        <v>398</v>
      </c>
      <c r="D631" s="6" t="s">
        <v>399</v>
      </c>
    </row>
    <row r="632" spans="1:4" ht="126" x14ac:dyDescent="0.25">
      <c r="A632">
        <v>631</v>
      </c>
      <c r="C632" s="6" t="s">
        <v>400</v>
      </c>
      <c r="D632" s="6" t="s">
        <v>401</v>
      </c>
    </row>
    <row r="633" spans="1:4" ht="78.75" x14ac:dyDescent="0.25">
      <c r="A633">
        <v>632</v>
      </c>
      <c r="C633" s="6" t="s">
        <v>402</v>
      </c>
      <c r="D633" s="6" t="s">
        <v>403</v>
      </c>
    </row>
    <row r="634" spans="1:4" ht="78.75" x14ac:dyDescent="0.25">
      <c r="A634">
        <v>633</v>
      </c>
      <c r="C634" s="6" t="s">
        <v>404</v>
      </c>
      <c r="D634" s="6" t="s">
        <v>405</v>
      </c>
    </row>
    <row r="635" spans="1:4" ht="63" x14ac:dyDescent="0.25">
      <c r="A635">
        <v>634</v>
      </c>
      <c r="C635" s="6" t="s">
        <v>406</v>
      </c>
      <c r="D635" s="6" t="s">
        <v>407</v>
      </c>
    </row>
    <row r="636" spans="1:4" ht="110.25" x14ac:dyDescent="0.25">
      <c r="A636">
        <v>635</v>
      </c>
      <c r="C636" s="6" t="s">
        <v>408</v>
      </c>
      <c r="D636" s="6" t="s">
        <v>409</v>
      </c>
    </row>
    <row r="637" spans="1:4" ht="110.25" x14ac:dyDescent="0.25">
      <c r="A637">
        <v>636</v>
      </c>
      <c r="C637" s="6" t="s">
        <v>410</v>
      </c>
      <c r="D637" s="6" t="s">
        <v>411</v>
      </c>
    </row>
    <row r="638" spans="1:4" ht="94.5" x14ac:dyDescent="0.25">
      <c r="A638">
        <v>637</v>
      </c>
      <c r="C638" s="6" t="s">
        <v>412</v>
      </c>
      <c r="D638" s="6" t="s">
        <v>413</v>
      </c>
    </row>
    <row r="639" spans="1:4" ht="15.75" x14ac:dyDescent="0.25">
      <c r="A639">
        <v>638</v>
      </c>
      <c r="C639" s="22"/>
    </row>
    <row r="640" spans="1:4" x14ac:dyDescent="0.25">
      <c r="A640">
        <v>639</v>
      </c>
      <c r="C640" s="4" t="s">
        <v>414</v>
      </c>
    </row>
    <row r="641" spans="1:3" ht="15.75" x14ac:dyDescent="0.25">
      <c r="A641">
        <v>640</v>
      </c>
      <c r="C641" s="22" t="s">
        <v>415</v>
      </c>
    </row>
    <row r="642" spans="1:3" ht="15.75" x14ac:dyDescent="0.25">
      <c r="A642">
        <v>641</v>
      </c>
      <c r="C642" s="22" t="s">
        <v>416</v>
      </c>
    </row>
    <row r="643" spans="1:3" ht="15.75" x14ac:dyDescent="0.25">
      <c r="A643">
        <v>642</v>
      </c>
      <c r="C643" s="22" t="s">
        <v>417</v>
      </c>
    </row>
    <row r="644" spans="1:3" ht="15.75" x14ac:dyDescent="0.25">
      <c r="A644">
        <v>643</v>
      </c>
      <c r="C644" s="22" t="s">
        <v>418</v>
      </c>
    </row>
    <row r="645" spans="1:3" ht="15.75" x14ac:dyDescent="0.25">
      <c r="A645">
        <v>644</v>
      </c>
      <c r="C645" s="22"/>
    </row>
    <row r="646" spans="1:3" ht="15.75" x14ac:dyDescent="0.25">
      <c r="A646">
        <v>645</v>
      </c>
      <c r="C646" s="22" t="s">
        <v>419</v>
      </c>
    </row>
    <row r="647" spans="1:3" ht="15.75" x14ac:dyDescent="0.25">
      <c r="A647">
        <v>646</v>
      </c>
      <c r="C647" s="22" t="s">
        <v>420</v>
      </c>
    </row>
    <row r="648" spans="1:3" ht="15.75" x14ac:dyDescent="0.25">
      <c r="A648">
        <v>647</v>
      </c>
      <c r="C648" s="22" t="s">
        <v>421</v>
      </c>
    </row>
    <row r="649" spans="1:3" ht="15.75" x14ac:dyDescent="0.25">
      <c r="A649">
        <v>648</v>
      </c>
      <c r="C649" s="22" t="s">
        <v>422</v>
      </c>
    </row>
    <row r="650" spans="1:3" ht="15.75" x14ac:dyDescent="0.25">
      <c r="A650">
        <v>649</v>
      </c>
      <c r="C650" s="22" t="s">
        <v>423</v>
      </c>
    </row>
    <row r="651" spans="1:3" ht="15.75" x14ac:dyDescent="0.25">
      <c r="A651">
        <v>650</v>
      </c>
      <c r="C651" s="22" t="s">
        <v>424</v>
      </c>
    </row>
    <row r="652" spans="1:3" ht="15.75" x14ac:dyDescent="0.25">
      <c r="A652">
        <v>651</v>
      </c>
      <c r="C652" s="22" t="s">
        <v>425</v>
      </c>
    </row>
    <row r="653" spans="1:3" ht="15.75" x14ac:dyDescent="0.25">
      <c r="A653">
        <v>652</v>
      </c>
      <c r="C653" s="22" t="s">
        <v>426</v>
      </c>
    </row>
    <row r="654" spans="1:3" ht="15.75" x14ac:dyDescent="0.25">
      <c r="A654">
        <v>653</v>
      </c>
      <c r="C654" s="22"/>
    </row>
    <row r="655" spans="1:3" ht="15.75" x14ac:dyDescent="0.25">
      <c r="A655">
        <v>654</v>
      </c>
      <c r="C655" s="22" t="s">
        <v>427</v>
      </c>
    </row>
    <row r="656" spans="1:3" ht="15.75" x14ac:dyDescent="0.25">
      <c r="A656">
        <v>655</v>
      </c>
      <c r="C656" s="22" t="s">
        <v>428</v>
      </c>
    </row>
    <row r="657" spans="1:3" ht="15.75" x14ac:dyDescent="0.25">
      <c r="A657">
        <v>656</v>
      </c>
      <c r="C657" s="22" t="s">
        <v>429</v>
      </c>
    </row>
    <row r="658" spans="1:3" ht="15.75" x14ac:dyDescent="0.25">
      <c r="A658">
        <v>657</v>
      </c>
      <c r="C658" s="22" t="s">
        <v>430</v>
      </c>
    </row>
    <row r="659" spans="1:3" ht="15.75" x14ac:dyDescent="0.25">
      <c r="A659">
        <v>658</v>
      </c>
      <c r="C659" s="22" t="s">
        <v>431</v>
      </c>
    </row>
    <row r="660" spans="1:3" ht="15.75" x14ac:dyDescent="0.25">
      <c r="A660">
        <v>659</v>
      </c>
      <c r="C660" s="22" t="s">
        <v>432</v>
      </c>
    </row>
    <row r="661" spans="1:3" ht="15.75" x14ac:dyDescent="0.25">
      <c r="A661">
        <v>660</v>
      </c>
      <c r="C661" s="22"/>
    </row>
    <row r="662" spans="1:3" ht="15.75" x14ac:dyDescent="0.25">
      <c r="A662">
        <v>661</v>
      </c>
      <c r="C662" s="22" t="s">
        <v>433</v>
      </c>
    </row>
    <row r="663" spans="1:3" ht="15.75" x14ac:dyDescent="0.25">
      <c r="A663">
        <v>662</v>
      </c>
      <c r="C663" s="22" t="s">
        <v>434</v>
      </c>
    </row>
    <row r="664" spans="1:3" ht="15.75" x14ac:dyDescent="0.25">
      <c r="A664">
        <v>663</v>
      </c>
      <c r="C664" s="22" t="s">
        <v>435</v>
      </c>
    </row>
    <row r="665" spans="1:3" ht="15.75" x14ac:dyDescent="0.25">
      <c r="A665">
        <v>664</v>
      </c>
      <c r="C665" s="22" t="s">
        <v>436</v>
      </c>
    </row>
    <row r="666" spans="1:3" ht="15.75" x14ac:dyDescent="0.25">
      <c r="A666">
        <v>665</v>
      </c>
      <c r="C666" s="22" t="s">
        <v>437</v>
      </c>
    </row>
    <row r="667" spans="1:3" ht="15.75" x14ac:dyDescent="0.25">
      <c r="A667">
        <v>666</v>
      </c>
      <c r="C667" s="22" t="s">
        <v>438</v>
      </c>
    </row>
    <row r="668" spans="1:3" ht="15.75" x14ac:dyDescent="0.25">
      <c r="A668">
        <v>667</v>
      </c>
      <c r="C668" s="22"/>
    </row>
    <row r="669" spans="1:3" ht="15.75" x14ac:dyDescent="0.25">
      <c r="A669">
        <v>668</v>
      </c>
      <c r="C669" s="22" t="s">
        <v>439</v>
      </c>
    </row>
    <row r="670" spans="1:3" ht="15.75" x14ac:dyDescent="0.25">
      <c r="A670">
        <v>669</v>
      </c>
      <c r="C670" s="22" t="s">
        <v>440</v>
      </c>
    </row>
    <row r="671" spans="1:3" ht="15.75" x14ac:dyDescent="0.25">
      <c r="A671">
        <v>670</v>
      </c>
      <c r="C671" s="22" t="s">
        <v>441</v>
      </c>
    </row>
    <row r="672" spans="1:3" ht="15.75" x14ac:dyDescent="0.25">
      <c r="A672">
        <v>671</v>
      </c>
      <c r="C672" s="22" t="s">
        <v>442</v>
      </c>
    </row>
    <row r="673" spans="1:4" ht="15.75" x14ac:dyDescent="0.25">
      <c r="A673">
        <v>672</v>
      </c>
      <c r="C673" s="22"/>
    </row>
    <row r="674" spans="1:4" ht="18.75" x14ac:dyDescent="0.25">
      <c r="A674">
        <v>673</v>
      </c>
      <c r="C674" s="37" t="s">
        <v>443</v>
      </c>
    </row>
    <row r="675" spans="1:4" ht="37.5" x14ac:dyDescent="0.25">
      <c r="A675">
        <v>674</v>
      </c>
      <c r="C675" s="7" t="s">
        <v>444</v>
      </c>
      <c r="D675" s="7" t="s">
        <v>445</v>
      </c>
    </row>
    <row r="676" spans="1:4" ht="168.75" x14ac:dyDescent="0.25">
      <c r="A676">
        <v>675</v>
      </c>
      <c r="C676" s="8" t="s">
        <v>446</v>
      </c>
      <c r="D676" s="9" t="s">
        <v>447</v>
      </c>
    </row>
    <row r="677" spans="1:4" ht="131.25" x14ac:dyDescent="0.25">
      <c r="A677">
        <v>676</v>
      </c>
      <c r="C677" s="8" t="s">
        <v>448</v>
      </c>
      <c r="D677" s="9" t="s">
        <v>449</v>
      </c>
    </row>
    <row r="678" spans="1:4" ht="93.75" x14ac:dyDescent="0.25">
      <c r="A678">
        <v>677</v>
      </c>
      <c r="C678" s="8" t="s">
        <v>450</v>
      </c>
      <c r="D678" s="9" t="s">
        <v>451</v>
      </c>
    </row>
    <row r="679" spans="1:4" ht="168.75" x14ac:dyDescent="0.25">
      <c r="A679">
        <v>678</v>
      </c>
      <c r="C679" s="8" t="s">
        <v>452</v>
      </c>
      <c r="D679" s="9" t="s">
        <v>453</v>
      </c>
    </row>
    <row r="680" spans="1:4" ht="187.5" x14ac:dyDescent="0.25">
      <c r="A680">
        <v>679</v>
      </c>
      <c r="C680" s="8" t="s">
        <v>454</v>
      </c>
      <c r="D680" s="9" t="s">
        <v>455</v>
      </c>
    </row>
    <row r="681" spans="1:4" ht="187.5" x14ac:dyDescent="0.25">
      <c r="A681">
        <v>680</v>
      </c>
      <c r="C681" s="8" t="s">
        <v>456</v>
      </c>
      <c r="D681" s="9" t="s">
        <v>457</v>
      </c>
    </row>
    <row r="682" spans="1:4" ht="168.75" x14ac:dyDescent="0.25">
      <c r="A682">
        <v>681</v>
      </c>
      <c r="C682" s="8" t="s">
        <v>458</v>
      </c>
      <c r="D682" s="9" t="s">
        <v>459</v>
      </c>
    </row>
    <row r="683" spans="1:4" ht="131.25" x14ac:dyDescent="0.25">
      <c r="A683">
        <v>682</v>
      </c>
      <c r="C683" s="8" t="s">
        <v>460</v>
      </c>
      <c r="D683" s="9" t="s">
        <v>461</v>
      </c>
    </row>
    <row r="684" spans="1:4" ht="131.25" x14ac:dyDescent="0.25">
      <c r="A684">
        <v>683</v>
      </c>
      <c r="C684" s="8" t="s">
        <v>462</v>
      </c>
      <c r="D684" s="9" t="s">
        <v>463</v>
      </c>
    </row>
    <row r="685" spans="1:4" ht="206.25" x14ac:dyDescent="0.25">
      <c r="A685">
        <v>684</v>
      </c>
      <c r="C685" s="8" t="s">
        <v>464</v>
      </c>
      <c r="D685" s="9" t="s">
        <v>465</v>
      </c>
    </row>
    <row r="686" spans="1:4" ht="15.75" x14ac:dyDescent="0.25">
      <c r="A686">
        <v>685</v>
      </c>
      <c r="C686" s="22"/>
    </row>
    <row r="687" spans="1:4" x14ac:dyDescent="0.25">
      <c r="A687">
        <v>686</v>
      </c>
      <c r="C687" s="1" t="s">
        <v>466</v>
      </c>
    </row>
    <row r="688" spans="1:4" x14ac:dyDescent="0.25">
      <c r="A688">
        <v>687</v>
      </c>
      <c r="C688" s="1" t="s">
        <v>467</v>
      </c>
    </row>
    <row r="689" spans="1:3" x14ac:dyDescent="0.25">
      <c r="A689">
        <v>688</v>
      </c>
      <c r="C689" s="1" t="s">
        <v>468</v>
      </c>
    </row>
    <row r="690" spans="1:3" x14ac:dyDescent="0.25">
      <c r="A690">
        <v>689</v>
      </c>
      <c r="C690" s="1" t="s">
        <v>469</v>
      </c>
    </row>
    <row r="691" spans="1:3" x14ac:dyDescent="0.25">
      <c r="A691">
        <v>690</v>
      </c>
      <c r="C691" s="1" t="s">
        <v>470</v>
      </c>
    </row>
    <row r="692" spans="1:3" x14ac:dyDescent="0.25">
      <c r="A692">
        <v>691</v>
      </c>
      <c r="C692" s="1" t="s">
        <v>471</v>
      </c>
    </row>
    <row r="693" spans="1:3" x14ac:dyDescent="0.25">
      <c r="A693">
        <v>692</v>
      </c>
      <c r="C693" s="1" t="s">
        <v>472</v>
      </c>
    </row>
    <row r="694" spans="1:3" x14ac:dyDescent="0.25">
      <c r="A694">
        <v>693</v>
      </c>
      <c r="C694" s="1" t="s">
        <v>473</v>
      </c>
    </row>
    <row r="695" spans="1:3" x14ac:dyDescent="0.25">
      <c r="A695">
        <v>694</v>
      </c>
      <c r="C695" s="1" t="s">
        <v>474</v>
      </c>
    </row>
    <row r="696" spans="1:3" x14ac:dyDescent="0.25">
      <c r="A696">
        <v>695</v>
      </c>
      <c r="C696" s="1" t="s">
        <v>475</v>
      </c>
    </row>
    <row r="697" spans="1:3" x14ac:dyDescent="0.25">
      <c r="A697">
        <v>696</v>
      </c>
      <c r="C697" s="1" t="s">
        <v>476</v>
      </c>
    </row>
    <row r="698" spans="1:3" x14ac:dyDescent="0.25">
      <c r="A698">
        <v>697</v>
      </c>
      <c r="C698" s="1" t="s">
        <v>477</v>
      </c>
    </row>
    <row r="699" spans="1:3" ht="15.75" x14ac:dyDescent="0.25">
      <c r="A699">
        <v>698</v>
      </c>
      <c r="C699" s="22"/>
    </row>
    <row r="700" spans="1:3" ht="15.75" x14ac:dyDescent="0.25">
      <c r="A700">
        <v>699</v>
      </c>
      <c r="C700" s="22"/>
    </row>
    <row r="701" spans="1:3" ht="15.75" x14ac:dyDescent="0.25">
      <c r="A701">
        <v>700</v>
      </c>
      <c r="C701" s="13" t="s">
        <v>478</v>
      </c>
    </row>
    <row r="702" spans="1:3" x14ac:dyDescent="0.25">
      <c r="A702">
        <v>701</v>
      </c>
    </row>
    <row r="703" spans="1:3" x14ac:dyDescent="0.25">
      <c r="A703">
        <v>702</v>
      </c>
    </row>
    <row r="704" spans="1:3" ht="15.75" x14ac:dyDescent="0.25">
      <c r="A704">
        <v>703</v>
      </c>
      <c r="C704" s="13" t="s">
        <v>479</v>
      </c>
    </row>
    <row r="705" spans="1:5" ht="47.25" x14ac:dyDescent="0.25">
      <c r="A705">
        <v>704</v>
      </c>
      <c r="C705" s="5" t="s">
        <v>480</v>
      </c>
      <c r="D705" s="5" t="s">
        <v>481</v>
      </c>
      <c r="E705" s="5" t="s">
        <v>482</v>
      </c>
    </row>
    <row r="706" spans="1:5" ht="110.25" x14ac:dyDescent="0.25">
      <c r="A706">
        <v>705</v>
      </c>
      <c r="C706" s="6" t="s">
        <v>483</v>
      </c>
      <c r="D706" s="10" t="s">
        <v>446</v>
      </c>
      <c r="E706" s="6" t="s">
        <v>484</v>
      </c>
    </row>
    <row r="707" spans="1:5" ht="78.75" x14ac:dyDescent="0.25">
      <c r="A707">
        <v>706</v>
      </c>
      <c r="C707" s="6" t="s">
        <v>485</v>
      </c>
      <c r="D707" s="10" t="s">
        <v>486</v>
      </c>
      <c r="E707" s="6" t="s">
        <v>487</v>
      </c>
    </row>
    <row r="708" spans="1:5" ht="155.25" x14ac:dyDescent="0.25">
      <c r="A708">
        <v>707</v>
      </c>
      <c r="C708" s="6" t="s">
        <v>488</v>
      </c>
      <c r="D708" s="10" t="s">
        <v>489</v>
      </c>
      <c r="E708" s="6" t="s">
        <v>490</v>
      </c>
    </row>
    <row r="709" spans="1:5" ht="128.25" x14ac:dyDescent="0.25">
      <c r="A709">
        <v>708</v>
      </c>
      <c r="C709" s="6" t="s">
        <v>491</v>
      </c>
      <c r="D709" s="10" t="s">
        <v>492</v>
      </c>
      <c r="E709" s="6" t="s">
        <v>493</v>
      </c>
    </row>
    <row r="710" spans="1:5" ht="157.5" x14ac:dyDescent="0.25">
      <c r="A710">
        <v>709</v>
      </c>
      <c r="C710" s="6" t="s">
        <v>494</v>
      </c>
      <c r="D710" s="10" t="s">
        <v>495</v>
      </c>
      <c r="E710" s="6" t="s">
        <v>496</v>
      </c>
    </row>
    <row r="711" spans="1:5" ht="94.5" x14ac:dyDescent="0.25">
      <c r="A711">
        <v>710</v>
      </c>
      <c r="C711" s="6" t="s">
        <v>497</v>
      </c>
      <c r="D711" s="10" t="s">
        <v>498</v>
      </c>
      <c r="E711" s="6" t="s">
        <v>499</v>
      </c>
    </row>
    <row r="712" spans="1:5" ht="110.25" x14ac:dyDescent="0.25">
      <c r="A712">
        <v>711</v>
      </c>
      <c r="C712" s="6" t="s">
        <v>500</v>
      </c>
      <c r="D712" s="10" t="s">
        <v>501</v>
      </c>
      <c r="E712" s="6" t="s">
        <v>502</v>
      </c>
    </row>
    <row r="713" spans="1:5" ht="126" x14ac:dyDescent="0.25">
      <c r="A713">
        <v>712</v>
      </c>
      <c r="C713" s="6" t="s">
        <v>503</v>
      </c>
      <c r="D713" s="10" t="s">
        <v>504</v>
      </c>
      <c r="E713" s="6" t="s">
        <v>505</v>
      </c>
    </row>
    <row r="714" spans="1:5" ht="126" x14ac:dyDescent="0.25">
      <c r="A714">
        <v>713</v>
      </c>
      <c r="C714" s="6" t="s">
        <v>506</v>
      </c>
      <c r="D714" s="10" t="s">
        <v>507</v>
      </c>
      <c r="E714" s="6" t="s">
        <v>508</v>
      </c>
    </row>
    <row r="715" spans="1:5" ht="105.75" x14ac:dyDescent="0.25">
      <c r="A715">
        <v>714</v>
      </c>
      <c r="C715" s="6" t="s">
        <v>509</v>
      </c>
      <c r="D715" s="10" t="s">
        <v>510</v>
      </c>
      <c r="E715" s="6" t="s">
        <v>511</v>
      </c>
    </row>
    <row r="716" spans="1:5" ht="15.75" x14ac:dyDescent="0.25">
      <c r="A716">
        <v>715</v>
      </c>
      <c r="C716" s="22"/>
    </row>
    <row r="717" spans="1:5" ht="15.75" x14ac:dyDescent="0.25">
      <c r="A717">
        <v>716</v>
      </c>
      <c r="C717" s="22"/>
    </row>
    <row r="718" spans="1:5" ht="15.75" x14ac:dyDescent="0.25">
      <c r="A718">
        <v>717</v>
      </c>
      <c r="C718" s="22"/>
    </row>
    <row r="719" spans="1:5" ht="15.75" x14ac:dyDescent="0.25">
      <c r="A719">
        <v>718</v>
      </c>
      <c r="C719" s="22"/>
    </row>
    <row r="720" spans="1:5" ht="31.5" x14ac:dyDescent="0.25">
      <c r="A720">
        <v>719</v>
      </c>
      <c r="C720" s="13" t="s">
        <v>512</v>
      </c>
    </row>
    <row r="721" spans="1:5" ht="63" x14ac:dyDescent="0.25">
      <c r="A721">
        <v>720</v>
      </c>
      <c r="C721" s="13" t="s">
        <v>513</v>
      </c>
    </row>
    <row r="722" spans="1:5" ht="63" x14ac:dyDescent="0.25">
      <c r="A722">
        <v>721</v>
      </c>
      <c r="C722" s="13" t="s">
        <v>514</v>
      </c>
    </row>
    <row r="723" spans="1:5" ht="63" x14ac:dyDescent="0.25">
      <c r="A723">
        <v>722</v>
      </c>
      <c r="C723" s="13" t="s">
        <v>515</v>
      </c>
    </row>
    <row r="724" spans="1:5" ht="63" x14ac:dyDescent="0.25">
      <c r="A724">
        <v>723</v>
      </c>
      <c r="C724" s="13" t="s">
        <v>516</v>
      </c>
    </row>
    <row r="725" spans="1:5" ht="78.75" x14ac:dyDescent="0.25">
      <c r="A725">
        <v>724</v>
      </c>
      <c r="C725" s="13" t="s">
        <v>517</v>
      </c>
    </row>
    <row r="726" spans="1:5" ht="31.5" x14ac:dyDescent="0.25">
      <c r="A726">
        <v>725</v>
      </c>
      <c r="C726" s="13" t="s">
        <v>512</v>
      </c>
    </row>
    <row r="727" spans="1:5" ht="63" x14ac:dyDescent="0.25">
      <c r="A727">
        <v>726</v>
      </c>
      <c r="C727" s="13" t="s">
        <v>513</v>
      </c>
    </row>
    <row r="728" spans="1:5" ht="63" x14ac:dyDescent="0.25">
      <c r="A728">
        <v>727</v>
      </c>
      <c r="C728" s="13" t="s">
        <v>514</v>
      </c>
    </row>
    <row r="729" spans="1:5" ht="63" x14ac:dyDescent="0.25">
      <c r="A729">
        <v>728</v>
      </c>
      <c r="C729" s="13" t="s">
        <v>515</v>
      </c>
    </row>
    <row r="730" spans="1:5" ht="63" x14ac:dyDescent="0.25">
      <c r="A730">
        <v>729</v>
      </c>
      <c r="C730" s="13" t="s">
        <v>516</v>
      </c>
    </row>
    <row r="731" spans="1:5" ht="78.75" x14ac:dyDescent="0.25">
      <c r="A731">
        <v>730</v>
      </c>
      <c r="C731" s="13" t="s">
        <v>517</v>
      </c>
    </row>
    <row r="732" spans="1:5" x14ac:dyDescent="0.25">
      <c r="A732">
        <v>731</v>
      </c>
    </row>
    <row r="733" spans="1:5" ht="17.25" x14ac:dyDescent="0.25">
      <c r="A733">
        <v>732</v>
      </c>
      <c r="C733" s="18" t="s">
        <v>518</v>
      </c>
    </row>
    <row r="734" spans="1:5" x14ac:dyDescent="0.25">
      <c r="A734">
        <v>733</v>
      </c>
    </row>
    <row r="735" spans="1:5" ht="60" x14ac:dyDescent="0.25">
      <c r="A735">
        <v>734</v>
      </c>
      <c r="C735" s="3" t="s">
        <v>519</v>
      </c>
      <c r="D735" s="3" t="s">
        <v>520</v>
      </c>
      <c r="E735" s="3" t="s">
        <v>521</v>
      </c>
    </row>
    <row r="736" spans="1:5" ht="45" x14ac:dyDescent="0.25">
      <c r="A736">
        <v>735</v>
      </c>
      <c r="C736" s="1" t="s">
        <v>522</v>
      </c>
      <c r="D736" s="1" t="s">
        <v>523</v>
      </c>
      <c r="E736" s="1" t="s">
        <v>524</v>
      </c>
    </row>
    <row r="737" spans="1:5" x14ac:dyDescent="0.25">
      <c r="A737">
        <v>736</v>
      </c>
      <c r="C737" s="1" t="s">
        <v>522</v>
      </c>
      <c r="D737" s="1" t="s">
        <v>525</v>
      </c>
      <c r="E737" s="1" t="s">
        <v>526</v>
      </c>
    </row>
    <row r="738" spans="1:5" x14ac:dyDescent="0.25">
      <c r="A738">
        <v>737</v>
      </c>
      <c r="C738" s="1" t="s">
        <v>522</v>
      </c>
      <c r="D738" s="1" t="s">
        <v>527</v>
      </c>
      <c r="E738" s="1" t="s">
        <v>526</v>
      </c>
    </row>
    <row r="739" spans="1:5" ht="45" x14ac:dyDescent="0.25">
      <c r="A739">
        <v>738</v>
      </c>
      <c r="C739" s="1" t="s">
        <v>522</v>
      </c>
      <c r="D739" s="1" t="s">
        <v>528</v>
      </c>
      <c r="E739" s="1" t="s">
        <v>526</v>
      </c>
    </row>
    <row r="740" spans="1:5" ht="45" x14ac:dyDescent="0.25">
      <c r="A740">
        <v>739</v>
      </c>
      <c r="C740" s="1" t="s">
        <v>529</v>
      </c>
      <c r="D740" s="1" t="s">
        <v>530</v>
      </c>
      <c r="E740" s="1" t="s">
        <v>531</v>
      </c>
    </row>
    <row r="741" spans="1:5" ht="30" x14ac:dyDescent="0.25">
      <c r="A741">
        <v>740</v>
      </c>
      <c r="C741" s="1" t="s">
        <v>529</v>
      </c>
      <c r="D741" s="1" t="s">
        <v>532</v>
      </c>
      <c r="E741" s="1" t="s">
        <v>526</v>
      </c>
    </row>
    <row r="742" spans="1:5" ht="45" x14ac:dyDescent="0.25">
      <c r="A742">
        <v>741</v>
      </c>
      <c r="C742" s="1" t="s">
        <v>529</v>
      </c>
      <c r="D742" s="1" t="s">
        <v>533</v>
      </c>
      <c r="E742" s="1" t="s">
        <v>526</v>
      </c>
    </row>
    <row r="743" spans="1:5" ht="60" x14ac:dyDescent="0.25">
      <c r="A743">
        <v>742</v>
      </c>
      <c r="C743" s="1" t="s">
        <v>529</v>
      </c>
      <c r="D743" s="1" t="s">
        <v>534</v>
      </c>
      <c r="E743" s="1" t="s">
        <v>535</v>
      </c>
    </row>
    <row r="744" spans="1:5" ht="45" x14ac:dyDescent="0.25">
      <c r="A744">
        <v>743</v>
      </c>
      <c r="C744" s="1" t="s">
        <v>536</v>
      </c>
      <c r="D744" s="1" t="s">
        <v>537</v>
      </c>
      <c r="E744" s="1" t="s">
        <v>538</v>
      </c>
    </row>
    <row r="745" spans="1:5" ht="45" x14ac:dyDescent="0.25">
      <c r="A745">
        <v>744</v>
      </c>
      <c r="C745" s="1" t="s">
        <v>536</v>
      </c>
      <c r="D745" s="1" t="s">
        <v>539</v>
      </c>
      <c r="E745" s="1" t="s">
        <v>540</v>
      </c>
    </row>
    <row r="746" spans="1:5" ht="30" x14ac:dyDescent="0.25">
      <c r="A746">
        <v>745</v>
      </c>
      <c r="C746" s="1" t="s">
        <v>536</v>
      </c>
      <c r="D746" s="1" t="s">
        <v>541</v>
      </c>
      <c r="E746" s="1" t="s">
        <v>526</v>
      </c>
    </row>
    <row r="747" spans="1:5" ht="45" x14ac:dyDescent="0.25">
      <c r="A747">
        <v>746</v>
      </c>
      <c r="C747" s="1" t="s">
        <v>536</v>
      </c>
      <c r="D747" s="1" t="s">
        <v>542</v>
      </c>
      <c r="E747" s="1" t="s">
        <v>543</v>
      </c>
    </row>
    <row r="748" spans="1:5" x14ac:dyDescent="0.25">
      <c r="A748">
        <v>747</v>
      </c>
      <c r="C748" s="1" t="s">
        <v>544</v>
      </c>
      <c r="D748" s="1" t="s">
        <v>545</v>
      </c>
      <c r="E748" s="1" t="s">
        <v>546</v>
      </c>
    </row>
    <row r="749" spans="1:5" ht="45" x14ac:dyDescent="0.25">
      <c r="A749">
        <v>748</v>
      </c>
      <c r="C749" s="1" t="s">
        <v>544</v>
      </c>
      <c r="D749" s="1" t="s">
        <v>547</v>
      </c>
      <c r="E749" s="1" t="s">
        <v>548</v>
      </c>
    </row>
    <row r="750" spans="1:5" ht="45" x14ac:dyDescent="0.25">
      <c r="A750">
        <v>749</v>
      </c>
      <c r="C750" s="1" t="s">
        <v>544</v>
      </c>
      <c r="D750" s="1" t="s">
        <v>549</v>
      </c>
      <c r="E750" s="1" t="s">
        <v>550</v>
      </c>
    </row>
    <row r="751" spans="1:5" ht="45" x14ac:dyDescent="0.25">
      <c r="A751">
        <v>750</v>
      </c>
      <c r="C751" s="1" t="s">
        <v>544</v>
      </c>
      <c r="D751" s="1" t="s">
        <v>551</v>
      </c>
      <c r="E751" s="1" t="s">
        <v>552</v>
      </c>
    </row>
    <row r="752" spans="1:5" ht="45" x14ac:dyDescent="0.25">
      <c r="A752">
        <v>751</v>
      </c>
      <c r="C752" s="1" t="s">
        <v>544</v>
      </c>
      <c r="D752" s="1" t="s">
        <v>553</v>
      </c>
      <c r="E752" s="1" t="s">
        <v>526</v>
      </c>
    </row>
    <row r="753" spans="1:5" ht="60" x14ac:dyDescent="0.25">
      <c r="A753">
        <v>752</v>
      </c>
      <c r="C753" s="1" t="s">
        <v>554</v>
      </c>
      <c r="D753" s="1" t="s">
        <v>555</v>
      </c>
      <c r="E753" s="1" t="s">
        <v>526</v>
      </c>
    </row>
    <row r="754" spans="1:5" ht="45" x14ac:dyDescent="0.25">
      <c r="A754">
        <v>753</v>
      </c>
      <c r="C754" s="1" t="s">
        <v>554</v>
      </c>
      <c r="D754" s="1" t="s">
        <v>556</v>
      </c>
      <c r="E754" s="1" t="s">
        <v>526</v>
      </c>
    </row>
    <row r="755" spans="1:5" ht="45" x14ac:dyDescent="0.25">
      <c r="A755">
        <v>754</v>
      </c>
      <c r="C755" s="1" t="s">
        <v>554</v>
      </c>
      <c r="D755" s="1" t="s">
        <v>557</v>
      </c>
      <c r="E755" s="1" t="s">
        <v>526</v>
      </c>
    </row>
    <row r="756" spans="1:5" ht="45" x14ac:dyDescent="0.25">
      <c r="A756">
        <v>755</v>
      </c>
      <c r="C756" s="1" t="s">
        <v>554</v>
      </c>
      <c r="D756" s="1" t="s">
        <v>558</v>
      </c>
      <c r="E756" s="1" t="s">
        <v>526</v>
      </c>
    </row>
    <row r="757" spans="1:5" ht="75" x14ac:dyDescent="0.25">
      <c r="A757">
        <v>756</v>
      </c>
      <c r="C757" s="1" t="s">
        <v>559</v>
      </c>
      <c r="D757" s="1" t="s">
        <v>560</v>
      </c>
      <c r="E757" s="1" t="s">
        <v>561</v>
      </c>
    </row>
    <row r="758" spans="1:5" ht="60" x14ac:dyDescent="0.25">
      <c r="A758">
        <v>757</v>
      </c>
      <c r="C758" s="1" t="s">
        <v>559</v>
      </c>
      <c r="D758" s="1" t="s">
        <v>562</v>
      </c>
      <c r="E758" s="1" t="s">
        <v>563</v>
      </c>
    </row>
    <row r="759" spans="1:5" x14ac:dyDescent="0.25">
      <c r="A759">
        <v>758</v>
      </c>
    </row>
    <row r="760" spans="1:5" x14ac:dyDescent="0.25">
      <c r="A760">
        <v>759</v>
      </c>
    </row>
    <row r="761" spans="1:5" ht="31.5" x14ac:dyDescent="0.25">
      <c r="A761">
        <v>760</v>
      </c>
      <c r="C761" s="6" t="s">
        <v>564</v>
      </c>
    </row>
    <row r="762" spans="1:5" x14ac:dyDescent="0.25">
      <c r="A762">
        <v>761</v>
      </c>
    </row>
    <row r="763" spans="1:5" ht="15.75" x14ac:dyDescent="0.25">
      <c r="A763">
        <v>762</v>
      </c>
      <c r="C763" s="6" t="s">
        <v>565</v>
      </c>
    </row>
    <row r="764" spans="1:5" x14ac:dyDescent="0.25">
      <c r="A764">
        <v>763</v>
      </c>
    </row>
    <row r="765" spans="1:5" ht="15.75" x14ac:dyDescent="0.25">
      <c r="A765">
        <v>764</v>
      </c>
      <c r="C765" s="29" t="s">
        <v>566</v>
      </c>
    </row>
    <row r="766" spans="1:5" x14ac:dyDescent="0.25">
      <c r="A766">
        <v>765</v>
      </c>
    </row>
    <row r="767" spans="1:5" ht="15.75" x14ac:dyDescent="0.25">
      <c r="A767">
        <v>766</v>
      </c>
      <c r="C767" s="29" t="s">
        <v>567</v>
      </c>
    </row>
    <row r="768" spans="1:5" x14ac:dyDescent="0.25">
      <c r="A768">
        <v>767</v>
      </c>
    </row>
    <row r="769" spans="1:4" ht="15.75" x14ac:dyDescent="0.25">
      <c r="A769">
        <v>768</v>
      </c>
      <c r="C769" s="29" t="s">
        <v>568</v>
      </c>
    </row>
    <row r="770" spans="1:4" x14ac:dyDescent="0.25">
      <c r="A770">
        <v>769</v>
      </c>
    </row>
    <row r="771" spans="1:4" ht="15.75" x14ac:dyDescent="0.25">
      <c r="A771">
        <v>770</v>
      </c>
      <c r="C771" s="6"/>
    </row>
    <row r="772" spans="1:4" x14ac:dyDescent="0.25">
      <c r="A772">
        <v>771</v>
      </c>
    </row>
    <row r="773" spans="1:4" ht="15.75" x14ac:dyDescent="0.25">
      <c r="A773">
        <v>772</v>
      </c>
      <c r="C773" s="6" t="s">
        <v>569</v>
      </c>
    </row>
    <row r="774" spans="1:4" x14ac:dyDescent="0.25">
      <c r="A774">
        <v>773</v>
      </c>
    </row>
    <row r="775" spans="1:4" ht="31.5" x14ac:dyDescent="0.25">
      <c r="A775">
        <v>774</v>
      </c>
      <c r="C775" s="29" t="s">
        <v>570</v>
      </c>
    </row>
    <row r="776" spans="1:4" x14ac:dyDescent="0.25">
      <c r="A776">
        <v>775</v>
      </c>
    </row>
    <row r="777" spans="1:4" ht="15.75" x14ac:dyDescent="0.25">
      <c r="A777">
        <v>776</v>
      </c>
      <c r="C777" s="29" t="s">
        <v>571</v>
      </c>
    </row>
    <row r="778" spans="1:4" x14ac:dyDescent="0.25">
      <c r="A778">
        <v>777</v>
      </c>
    </row>
    <row r="779" spans="1:4" ht="31.5" x14ac:dyDescent="0.25">
      <c r="A779">
        <v>778</v>
      </c>
      <c r="C779" s="29" t="s">
        <v>572</v>
      </c>
    </row>
    <row r="780" spans="1:4" x14ac:dyDescent="0.25">
      <c r="A780">
        <v>779</v>
      </c>
    </row>
    <row r="781" spans="1:4" ht="16.5" thickBot="1" x14ac:dyDescent="0.3">
      <c r="A781">
        <v>780</v>
      </c>
      <c r="C781" s="29" t="s">
        <v>573</v>
      </c>
    </row>
    <row r="782" spans="1:4" ht="16.5" thickBot="1" x14ac:dyDescent="0.3">
      <c r="A782">
        <v>781</v>
      </c>
      <c r="C782" s="11" t="s">
        <v>574</v>
      </c>
      <c r="D782" s="11"/>
    </row>
    <row r="783" spans="1:4" ht="32.25" thickBot="1" x14ac:dyDescent="0.3">
      <c r="A783">
        <v>782</v>
      </c>
      <c r="C783" s="11" t="s">
        <v>760</v>
      </c>
      <c r="D783" s="12"/>
    </row>
    <row r="784" spans="1:4" ht="32.25" thickBot="1" x14ac:dyDescent="0.3">
      <c r="A784">
        <v>783</v>
      </c>
      <c r="C784" s="11" t="s">
        <v>759</v>
      </c>
      <c r="D784" s="12"/>
    </row>
    <row r="785" spans="1:4" ht="32.25" thickBot="1" x14ac:dyDescent="0.3">
      <c r="A785">
        <v>784</v>
      </c>
      <c r="C785" s="11" t="s">
        <v>761</v>
      </c>
      <c r="D785" s="12"/>
    </row>
    <row r="786" spans="1:4" ht="15.75" x14ac:dyDescent="0.25">
      <c r="A786">
        <v>785</v>
      </c>
      <c r="C786" s="22"/>
    </row>
    <row r="787" spans="1:4" ht="15.75" x14ac:dyDescent="0.25">
      <c r="A787">
        <v>786</v>
      </c>
      <c r="C787" s="22" t="s">
        <v>575</v>
      </c>
    </row>
    <row r="788" spans="1:4" ht="15.75" x14ac:dyDescent="0.25">
      <c r="A788">
        <v>787</v>
      </c>
      <c r="C788" s="22" t="s">
        <v>576</v>
      </c>
    </row>
    <row r="789" spans="1:4" ht="15.75" x14ac:dyDescent="0.25">
      <c r="A789">
        <v>788</v>
      </c>
      <c r="C789" s="22" t="s">
        <v>577</v>
      </c>
    </row>
    <row r="790" spans="1:4" ht="15.75" x14ac:dyDescent="0.25">
      <c r="A790">
        <v>789</v>
      </c>
      <c r="C790" s="22" t="s">
        <v>578</v>
      </c>
    </row>
    <row r="791" spans="1:4" ht="15.75" x14ac:dyDescent="0.25">
      <c r="A791">
        <v>790</v>
      </c>
      <c r="C791" s="22" t="s">
        <v>579</v>
      </c>
    </row>
    <row r="792" spans="1:4" ht="15.75" x14ac:dyDescent="0.25">
      <c r="A792">
        <v>791</v>
      </c>
      <c r="C792" s="22" t="s">
        <v>580</v>
      </c>
    </row>
    <row r="793" spans="1:4" ht="15.75" x14ac:dyDescent="0.25">
      <c r="A793">
        <v>792</v>
      </c>
      <c r="C793" s="22" t="s">
        <v>581</v>
      </c>
    </row>
    <row r="794" spans="1:4" ht="15.75" x14ac:dyDescent="0.25">
      <c r="A794">
        <v>793</v>
      </c>
      <c r="C794" s="22" t="s">
        <v>582</v>
      </c>
    </row>
    <row r="795" spans="1:4" ht="15.75" x14ac:dyDescent="0.25">
      <c r="A795">
        <v>794</v>
      </c>
      <c r="C795" s="22" t="s">
        <v>583</v>
      </c>
    </row>
    <row r="796" spans="1:4" ht="15.75" x14ac:dyDescent="0.25">
      <c r="A796">
        <v>795</v>
      </c>
      <c r="C796" s="22" t="s">
        <v>584</v>
      </c>
    </row>
    <row r="797" spans="1:4" ht="15.75" x14ac:dyDescent="0.25">
      <c r="A797">
        <v>796</v>
      </c>
      <c r="C797" s="22" t="s">
        <v>585</v>
      </c>
    </row>
    <row r="798" spans="1:4" ht="15.75" x14ac:dyDescent="0.25">
      <c r="A798">
        <v>797</v>
      </c>
      <c r="C798" s="22" t="s">
        <v>586</v>
      </c>
    </row>
    <row r="799" spans="1:4" ht="15.75" x14ac:dyDescent="0.25">
      <c r="A799">
        <v>798</v>
      </c>
      <c r="C799" s="22" t="s">
        <v>587</v>
      </c>
    </row>
    <row r="800" spans="1:4" ht="15.75" x14ac:dyDescent="0.25">
      <c r="A800">
        <v>799</v>
      </c>
      <c r="C800" s="22" t="s">
        <v>588</v>
      </c>
    </row>
    <row r="801" spans="1:3" ht="15.75" x14ac:dyDescent="0.25">
      <c r="A801">
        <v>800</v>
      </c>
      <c r="C801" s="22" t="s">
        <v>576</v>
      </c>
    </row>
    <row r="802" spans="1:3" ht="15.75" x14ac:dyDescent="0.25">
      <c r="A802">
        <v>801</v>
      </c>
      <c r="C802" s="22" t="s">
        <v>589</v>
      </c>
    </row>
    <row r="803" spans="1:3" ht="15.75" x14ac:dyDescent="0.25">
      <c r="A803">
        <v>802</v>
      </c>
      <c r="C803" s="22" t="s">
        <v>583</v>
      </c>
    </row>
    <row r="804" spans="1:3" ht="15.75" x14ac:dyDescent="0.25">
      <c r="A804">
        <v>803</v>
      </c>
      <c r="C804" s="22" t="s">
        <v>590</v>
      </c>
    </row>
    <row r="805" spans="1:3" ht="15.75" x14ac:dyDescent="0.25">
      <c r="A805">
        <v>804</v>
      </c>
      <c r="C805" s="22" t="s">
        <v>591</v>
      </c>
    </row>
    <row r="806" spans="1:3" ht="15.75" x14ac:dyDescent="0.25">
      <c r="A806">
        <v>805</v>
      </c>
      <c r="C806" s="22" t="s">
        <v>592</v>
      </c>
    </row>
    <row r="807" spans="1:3" ht="15.75" x14ac:dyDescent="0.25">
      <c r="A807">
        <v>806</v>
      </c>
      <c r="C807" s="22" t="s">
        <v>586</v>
      </c>
    </row>
    <row r="808" spans="1:3" ht="15.75" x14ac:dyDescent="0.25">
      <c r="A808">
        <v>807</v>
      </c>
      <c r="C808" s="22" t="s">
        <v>593</v>
      </c>
    </row>
    <row r="809" spans="1:3" ht="15.75" x14ac:dyDescent="0.25">
      <c r="A809">
        <v>808</v>
      </c>
      <c r="C809" s="22" t="s">
        <v>594</v>
      </c>
    </row>
    <row r="810" spans="1:3" ht="15.75" x14ac:dyDescent="0.25">
      <c r="A810">
        <v>809</v>
      </c>
      <c r="C810" s="22" t="s">
        <v>576</v>
      </c>
    </row>
    <row r="811" spans="1:3" ht="15.75" x14ac:dyDescent="0.25">
      <c r="A811">
        <v>810</v>
      </c>
      <c r="C811" s="22" t="s">
        <v>595</v>
      </c>
    </row>
    <row r="812" spans="1:3" ht="15.75" x14ac:dyDescent="0.25">
      <c r="A812">
        <v>811</v>
      </c>
      <c r="C812" s="22" t="s">
        <v>596</v>
      </c>
    </row>
    <row r="813" spans="1:3" ht="15.75" x14ac:dyDescent="0.25">
      <c r="A813">
        <v>812</v>
      </c>
      <c r="C813" s="22" t="s">
        <v>597</v>
      </c>
    </row>
    <row r="814" spans="1:3" ht="15.75" x14ac:dyDescent="0.25">
      <c r="A814">
        <v>813</v>
      </c>
      <c r="C814" s="22" t="s">
        <v>598</v>
      </c>
    </row>
    <row r="815" spans="1:3" ht="15.75" x14ac:dyDescent="0.25">
      <c r="A815">
        <v>814</v>
      </c>
      <c r="C815" s="22"/>
    </row>
    <row r="816" spans="1:3" ht="15.75" x14ac:dyDescent="0.25">
      <c r="A816">
        <v>815</v>
      </c>
      <c r="C816" s="13" t="s">
        <v>599</v>
      </c>
    </row>
    <row r="817" spans="1:5" ht="15.75" x14ac:dyDescent="0.25">
      <c r="A817">
        <v>816</v>
      </c>
      <c r="C817" s="5" t="s">
        <v>600</v>
      </c>
      <c r="D817" s="5"/>
      <c r="E817" s="5"/>
    </row>
    <row r="818" spans="1:5" ht="15.75" x14ac:dyDescent="0.25">
      <c r="A818">
        <v>817</v>
      </c>
      <c r="C818" s="10" t="s">
        <v>756</v>
      </c>
      <c r="D818" s="6"/>
      <c r="E818" s="6"/>
    </row>
    <row r="819" spans="1:5" ht="15.75" x14ac:dyDescent="0.25">
      <c r="A819">
        <v>818</v>
      </c>
      <c r="C819" s="10" t="s">
        <v>754</v>
      </c>
      <c r="D819" s="6"/>
      <c r="E819" s="6"/>
    </row>
    <row r="820" spans="1:5" ht="15.75" x14ac:dyDescent="0.25">
      <c r="A820">
        <v>819</v>
      </c>
      <c r="C820" s="10" t="s">
        <v>755</v>
      </c>
      <c r="D820" s="6"/>
      <c r="E820" s="6"/>
    </row>
    <row r="821" spans="1:5" ht="15.75" x14ac:dyDescent="0.25">
      <c r="A821">
        <v>820</v>
      </c>
      <c r="C821" s="10" t="s">
        <v>757</v>
      </c>
      <c r="D821" s="6"/>
      <c r="E821" s="6"/>
    </row>
    <row r="822" spans="1:5" ht="15.75" x14ac:dyDescent="0.25">
      <c r="A822">
        <v>821</v>
      </c>
      <c r="C822" s="10" t="s">
        <v>758</v>
      </c>
      <c r="D822" s="6"/>
      <c r="E822" s="6"/>
    </row>
    <row r="823" spans="1:5" ht="15.75" x14ac:dyDescent="0.25">
      <c r="A823">
        <v>822</v>
      </c>
      <c r="C823" s="22"/>
    </row>
    <row r="824" spans="1:5" ht="15.75" x14ac:dyDescent="0.25">
      <c r="A824">
        <v>823</v>
      </c>
      <c r="C824" s="13" t="s">
        <v>601</v>
      </c>
    </row>
    <row r="825" spans="1:5" ht="15.75" x14ac:dyDescent="0.25">
      <c r="A825">
        <v>824</v>
      </c>
      <c r="C825" s="5" t="s">
        <v>600</v>
      </c>
      <c r="D825" s="5"/>
      <c r="E825" s="5"/>
    </row>
    <row r="826" spans="1:5" ht="15.75" x14ac:dyDescent="0.25">
      <c r="A826">
        <v>825</v>
      </c>
      <c r="C826" s="10" t="s">
        <v>752</v>
      </c>
      <c r="D826" s="6"/>
      <c r="E826" s="6"/>
    </row>
    <row r="827" spans="1:5" ht="15.75" x14ac:dyDescent="0.25">
      <c r="A827">
        <v>826</v>
      </c>
      <c r="C827" s="10" t="s">
        <v>753</v>
      </c>
      <c r="D827" s="6"/>
      <c r="E827" s="6"/>
    </row>
    <row r="828" spans="1:5" ht="15.75" x14ac:dyDescent="0.25">
      <c r="A828">
        <v>827</v>
      </c>
      <c r="C828" s="22"/>
    </row>
    <row r="829" spans="1:5" x14ac:dyDescent="0.25">
      <c r="A829">
        <v>828</v>
      </c>
      <c r="C829" s="4" t="s">
        <v>602</v>
      </c>
    </row>
    <row r="830" spans="1:5" ht="15.75" x14ac:dyDescent="0.25">
      <c r="A830">
        <v>829</v>
      </c>
      <c r="C830" s="22" t="s">
        <v>603</v>
      </c>
    </row>
    <row r="831" spans="1:5" ht="15.75" x14ac:dyDescent="0.25">
      <c r="A831">
        <v>830</v>
      </c>
      <c r="C831" s="22" t="s">
        <v>604</v>
      </c>
    </row>
    <row r="832" spans="1:5" ht="15.75" x14ac:dyDescent="0.25">
      <c r="A832">
        <v>831</v>
      </c>
      <c r="C832" s="22" t="s">
        <v>605</v>
      </c>
    </row>
    <row r="833" spans="1:3" ht="15.75" x14ac:dyDescent="0.25">
      <c r="A833">
        <v>832</v>
      </c>
      <c r="C833" s="22" t="s">
        <v>606</v>
      </c>
    </row>
    <row r="834" spans="1:3" ht="15.75" x14ac:dyDescent="0.25">
      <c r="A834">
        <v>833</v>
      </c>
      <c r="C834" s="22"/>
    </row>
    <row r="835" spans="1:3" ht="15.75" x14ac:dyDescent="0.25">
      <c r="A835">
        <v>834</v>
      </c>
      <c r="C835" s="13" t="s">
        <v>607</v>
      </c>
    </row>
    <row r="836" spans="1:3" x14ac:dyDescent="0.25">
      <c r="A836">
        <v>835</v>
      </c>
      <c r="C836" s="27"/>
    </row>
    <row r="837" spans="1:3" ht="15.75" x14ac:dyDescent="0.25">
      <c r="A837">
        <v>836</v>
      </c>
      <c r="C837" s="29" t="s">
        <v>608</v>
      </c>
    </row>
    <row r="838" spans="1:3" ht="15.75" x14ac:dyDescent="0.25">
      <c r="A838">
        <v>837</v>
      </c>
      <c r="C838" s="29" t="s">
        <v>609</v>
      </c>
    </row>
    <row r="839" spans="1:3" ht="15.75" x14ac:dyDescent="0.25">
      <c r="A839">
        <v>838</v>
      </c>
      <c r="C839" s="29" t="s">
        <v>610</v>
      </c>
    </row>
    <row r="840" spans="1:3" ht="15.75" x14ac:dyDescent="0.25">
      <c r="A840">
        <v>839</v>
      </c>
      <c r="C840" s="29" t="s">
        <v>611</v>
      </c>
    </row>
    <row r="841" spans="1:3" ht="15.75" x14ac:dyDescent="0.25">
      <c r="A841">
        <v>840</v>
      </c>
      <c r="C841" s="22"/>
    </row>
    <row r="842" spans="1:3" ht="15.75" x14ac:dyDescent="0.25">
      <c r="A842">
        <v>841</v>
      </c>
      <c r="C842" s="22" t="s">
        <v>612</v>
      </c>
    </row>
    <row r="843" spans="1:3" ht="15.75" x14ac:dyDescent="0.25">
      <c r="A843">
        <v>842</v>
      </c>
      <c r="C843" s="22" t="s">
        <v>613</v>
      </c>
    </row>
    <row r="844" spans="1:3" ht="15.75" x14ac:dyDescent="0.25">
      <c r="A844">
        <v>843</v>
      </c>
      <c r="C844" s="22"/>
    </row>
    <row r="845" spans="1:3" ht="15.75" x14ac:dyDescent="0.25">
      <c r="A845">
        <v>844</v>
      </c>
      <c r="C845" s="22" t="s">
        <v>614</v>
      </c>
    </row>
    <row r="846" spans="1:3" ht="15.75" x14ac:dyDescent="0.25">
      <c r="A846">
        <v>845</v>
      </c>
      <c r="C846" s="22" t="s">
        <v>615</v>
      </c>
    </row>
    <row r="847" spans="1:3" ht="15.75" x14ac:dyDescent="0.25">
      <c r="A847">
        <v>846</v>
      </c>
      <c r="C847" s="22" t="s">
        <v>616</v>
      </c>
    </row>
    <row r="848" spans="1:3" ht="15.75" x14ac:dyDescent="0.25">
      <c r="A848">
        <v>847</v>
      </c>
      <c r="C848" s="22"/>
    </row>
    <row r="849" spans="1:5" ht="15.75" x14ac:dyDescent="0.25">
      <c r="A849">
        <v>848</v>
      </c>
      <c r="C849" s="24" t="s">
        <v>617</v>
      </c>
    </row>
    <row r="850" spans="1:5" ht="15.75" x14ac:dyDescent="0.25">
      <c r="A850">
        <v>849</v>
      </c>
      <c r="C850" s="22"/>
    </row>
    <row r="851" spans="1:5" ht="15.75" x14ac:dyDescent="0.25">
      <c r="A851">
        <v>850</v>
      </c>
      <c r="C851" s="13" t="s">
        <v>618</v>
      </c>
    </row>
    <row r="852" spans="1:5" ht="15.75" x14ac:dyDescent="0.25">
      <c r="A852">
        <v>851</v>
      </c>
      <c r="C852" s="5" t="s">
        <v>619</v>
      </c>
      <c r="D852" s="13"/>
      <c r="E852" s="5"/>
    </row>
    <row r="853" spans="1:5" ht="15.75" x14ac:dyDescent="0.25">
      <c r="A853">
        <v>852</v>
      </c>
      <c r="C853" s="10" t="s">
        <v>749</v>
      </c>
      <c r="D853" s="6"/>
      <c r="E853" s="6"/>
    </row>
    <row r="854" spans="1:5" ht="15.75" x14ac:dyDescent="0.25">
      <c r="A854">
        <v>853</v>
      </c>
      <c r="C854" s="10" t="s">
        <v>750</v>
      </c>
      <c r="D854" s="6"/>
      <c r="E854" s="6"/>
    </row>
    <row r="855" spans="1:5" ht="15.75" x14ac:dyDescent="0.25">
      <c r="A855">
        <v>854</v>
      </c>
      <c r="C855" s="10" t="s">
        <v>751</v>
      </c>
      <c r="D855" s="6"/>
      <c r="E855" s="6"/>
    </row>
    <row r="856" spans="1:5" ht="15.75" x14ac:dyDescent="0.25">
      <c r="A856">
        <v>855</v>
      </c>
      <c r="C856" s="22"/>
    </row>
    <row r="857" spans="1:5" ht="15.75" x14ac:dyDescent="0.25">
      <c r="A857">
        <v>856</v>
      </c>
      <c r="C857" s="22"/>
    </row>
    <row r="858" spans="1:5" ht="15.75" x14ac:dyDescent="0.25">
      <c r="A858">
        <v>857</v>
      </c>
      <c r="C858" s="22"/>
    </row>
    <row r="859" spans="1:5" ht="15.75" x14ac:dyDescent="0.25">
      <c r="A859">
        <v>858</v>
      </c>
      <c r="C859" s="22"/>
    </row>
    <row r="860" spans="1:5" ht="15.75" x14ac:dyDescent="0.25">
      <c r="A860">
        <v>859</v>
      </c>
      <c r="C860" s="22"/>
    </row>
    <row r="861" spans="1:5" ht="15.75" x14ac:dyDescent="0.25">
      <c r="A861">
        <v>860</v>
      </c>
      <c r="C861" s="22" t="s">
        <v>620</v>
      </c>
    </row>
    <row r="862" spans="1:5" ht="15.75" x14ac:dyDescent="0.25">
      <c r="A862">
        <v>861</v>
      </c>
      <c r="C862" s="22" t="s">
        <v>621</v>
      </c>
    </row>
    <row r="863" spans="1:5" ht="15.75" x14ac:dyDescent="0.25">
      <c r="A863">
        <v>862</v>
      </c>
      <c r="C863" s="22" t="s">
        <v>622</v>
      </c>
    </row>
    <row r="864" spans="1:5" ht="15.75" x14ac:dyDescent="0.25">
      <c r="A864">
        <v>863</v>
      </c>
      <c r="C864" s="22" t="s">
        <v>623</v>
      </c>
    </row>
    <row r="865" spans="1:3" ht="15.75" x14ac:dyDescent="0.25">
      <c r="A865">
        <v>864</v>
      </c>
      <c r="C865" s="22"/>
    </row>
    <row r="866" spans="1:3" ht="15.75" x14ac:dyDescent="0.25">
      <c r="A866">
        <v>865</v>
      </c>
      <c r="C866" s="22" t="s">
        <v>624</v>
      </c>
    </row>
    <row r="867" spans="1:3" ht="15.75" x14ac:dyDescent="0.25">
      <c r="A867">
        <v>866</v>
      </c>
      <c r="C867" s="22" t="s">
        <v>625</v>
      </c>
    </row>
    <row r="868" spans="1:3" ht="15.75" x14ac:dyDescent="0.25">
      <c r="A868">
        <v>867</v>
      </c>
      <c r="C868" s="22" t="s">
        <v>626</v>
      </c>
    </row>
    <row r="869" spans="1:3" ht="15.75" x14ac:dyDescent="0.25">
      <c r="A869">
        <v>868</v>
      </c>
      <c r="C869" s="22" t="s">
        <v>627</v>
      </c>
    </row>
    <row r="870" spans="1:3" ht="15.75" x14ac:dyDescent="0.25">
      <c r="A870">
        <v>869</v>
      </c>
      <c r="C870" s="22" t="s">
        <v>628</v>
      </c>
    </row>
    <row r="871" spans="1:3" ht="15.75" x14ac:dyDescent="0.25">
      <c r="A871">
        <v>870</v>
      </c>
      <c r="C871" s="22"/>
    </row>
    <row r="872" spans="1:3" ht="15.75" x14ac:dyDescent="0.25">
      <c r="A872">
        <v>871</v>
      </c>
      <c r="C872" s="22" t="s">
        <v>629</v>
      </c>
    </row>
    <row r="873" spans="1:3" ht="15.75" x14ac:dyDescent="0.25">
      <c r="A873">
        <v>872</v>
      </c>
      <c r="C873" s="22"/>
    </row>
    <row r="874" spans="1:3" ht="15.75" x14ac:dyDescent="0.25">
      <c r="A874">
        <v>873</v>
      </c>
      <c r="C874" s="22" t="s">
        <v>630</v>
      </c>
    </row>
    <row r="875" spans="1:3" ht="15.75" x14ac:dyDescent="0.25">
      <c r="A875">
        <v>874</v>
      </c>
      <c r="C875" s="22"/>
    </row>
    <row r="876" spans="1:3" ht="15.75" x14ac:dyDescent="0.25">
      <c r="A876">
        <v>875</v>
      </c>
      <c r="C876" s="22" t="s">
        <v>631</v>
      </c>
    </row>
    <row r="877" spans="1:3" ht="15.75" x14ac:dyDescent="0.25">
      <c r="A877">
        <v>876</v>
      </c>
      <c r="C877" s="22" t="s">
        <v>632</v>
      </c>
    </row>
    <row r="878" spans="1:3" ht="15.75" x14ac:dyDescent="0.25">
      <c r="A878">
        <v>877</v>
      </c>
      <c r="C878" s="22" t="s">
        <v>633</v>
      </c>
    </row>
    <row r="879" spans="1:3" ht="15.75" x14ac:dyDescent="0.25">
      <c r="A879">
        <v>878</v>
      </c>
      <c r="C879" s="22" t="s">
        <v>634</v>
      </c>
    </row>
    <row r="880" spans="1:3" ht="15.75" x14ac:dyDescent="0.25">
      <c r="A880">
        <v>879</v>
      </c>
      <c r="C880" s="22" t="s">
        <v>635</v>
      </c>
    </row>
    <row r="881" spans="1:3" ht="15.75" x14ac:dyDescent="0.25">
      <c r="A881">
        <v>880</v>
      </c>
      <c r="C881" s="22" t="s">
        <v>636</v>
      </c>
    </row>
    <row r="882" spans="1:3" ht="17.25" x14ac:dyDescent="0.25">
      <c r="A882">
        <v>881</v>
      </c>
      <c r="C882" s="22" t="s">
        <v>637</v>
      </c>
    </row>
    <row r="883" spans="1:3" ht="15.75" x14ac:dyDescent="0.25">
      <c r="A883">
        <v>882</v>
      </c>
      <c r="C883" s="22"/>
    </row>
    <row r="884" spans="1:3" ht="15.75" x14ac:dyDescent="0.25">
      <c r="A884">
        <v>883</v>
      </c>
      <c r="C884" s="22" t="s">
        <v>638</v>
      </c>
    </row>
    <row r="885" spans="1:3" ht="15.75" x14ac:dyDescent="0.25">
      <c r="A885">
        <v>884</v>
      </c>
      <c r="C885" s="22" t="s">
        <v>628</v>
      </c>
    </row>
    <row r="886" spans="1:3" ht="15.75" x14ac:dyDescent="0.25">
      <c r="A886">
        <v>885</v>
      </c>
      <c r="C886" s="22" t="s">
        <v>639</v>
      </c>
    </row>
    <row r="887" spans="1:3" ht="15.75" x14ac:dyDescent="0.25">
      <c r="A887">
        <v>886</v>
      </c>
      <c r="C887" s="22" t="s">
        <v>640</v>
      </c>
    </row>
    <row r="888" spans="1:3" ht="15.75" x14ac:dyDescent="0.25">
      <c r="A888">
        <v>887</v>
      </c>
      <c r="C888" s="22" t="s">
        <v>641</v>
      </c>
    </row>
    <row r="889" spans="1:3" ht="15.75" x14ac:dyDescent="0.25">
      <c r="A889">
        <v>888</v>
      </c>
      <c r="C889" s="22" t="s">
        <v>642</v>
      </c>
    </row>
    <row r="890" spans="1:3" ht="15.75" x14ac:dyDescent="0.25">
      <c r="A890">
        <v>889</v>
      </c>
      <c r="C890" s="22" t="s">
        <v>643</v>
      </c>
    </row>
    <row r="891" spans="1:3" ht="15.75" x14ac:dyDescent="0.25">
      <c r="A891">
        <v>890</v>
      </c>
      <c r="C891" s="22" t="s">
        <v>644</v>
      </c>
    </row>
    <row r="892" spans="1:3" ht="15.75" x14ac:dyDescent="0.25">
      <c r="A892">
        <v>891</v>
      </c>
      <c r="C892" s="22" t="s">
        <v>628</v>
      </c>
    </row>
    <row r="893" spans="1:3" ht="15.75" x14ac:dyDescent="0.25">
      <c r="A893">
        <v>892</v>
      </c>
      <c r="C893" s="22"/>
    </row>
    <row r="894" spans="1:3" ht="15.75" x14ac:dyDescent="0.25">
      <c r="A894">
        <v>893</v>
      </c>
      <c r="C894" s="22" t="s">
        <v>629</v>
      </c>
    </row>
    <row r="895" spans="1:3" ht="15.75" x14ac:dyDescent="0.25">
      <c r="A895">
        <v>894</v>
      </c>
      <c r="C895" s="22"/>
    </row>
    <row r="896" spans="1:3" ht="15.75" x14ac:dyDescent="0.25">
      <c r="A896">
        <v>895</v>
      </c>
      <c r="C896" s="22" t="s">
        <v>645</v>
      </c>
    </row>
    <row r="897" spans="1:3" ht="15.75" x14ac:dyDescent="0.25">
      <c r="A897">
        <v>896</v>
      </c>
      <c r="C897" s="22" t="s">
        <v>628</v>
      </c>
    </row>
    <row r="898" spans="1:3" ht="15.75" x14ac:dyDescent="0.25">
      <c r="A898">
        <v>897</v>
      </c>
      <c r="C898" s="22" t="s">
        <v>646</v>
      </c>
    </row>
    <row r="899" spans="1:3" ht="15.75" x14ac:dyDescent="0.25">
      <c r="A899">
        <v>898</v>
      </c>
      <c r="C899" s="38" t="s">
        <v>647</v>
      </c>
    </row>
    <row r="900" spans="1:3" ht="15.75" x14ac:dyDescent="0.25">
      <c r="A900">
        <v>899</v>
      </c>
      <c r="C900" s="38" t="s">
        <v>648</v>
      </c>
    </row>
    <row r="901" spans="1:3" ht="15.75" x14ac:dyDescent="0.25">
      <c r="A901">
        <v>900</v>
      </c>
      <c r="C901" s="38" t="s">
        <v>649</v>
      </c>
    </row>
    <row r="902" spans="1:3" ht="15.75" x14ac:dyDescent="0.25">
      <c r="A902">
        <v>901</v>
      </c>
      <c r="C902" s="22" t="s">
        <v>650</v>
      </c>
    </row>
    <row r="903" spans="1:3" ht="15.75" x14ac:dyDescent="0.25">
      <c r="A903">
        <v>902</v>
      </c>
      <c r="C903" s="22" t="s">
        <v>651</v>
      </c>
    </row>
    <row r="904" spans="1:3" ht="15.75" x14ac:dyDescent="0.25">
      <c r="A904">
        <v>903</v>
      </c>
      <c r="C904" s="22" t="s">
        <v>652</v>
      </c>
    </row>
    <row r="905" spans="1:3" ht="15.75" x14ac:dyDescent="0.25">
      <c r="A905">
        <v>904</v>
      </c>
      <c r="C905" s="22" t="s">
        <v>653</v>
      </c>
    </row>
    <row r="906" spans="1:3" ht="15.75" x14ac:dyDescent="0.25">
      <c r="A906">
        <v>905</v>
      </c>
      <c r="C906" s="22" t="s">
        <v>654</v>
      </c>
    </row>
    <row r="907" spans="1:3" ht="15.75" x14ac:dyDescent="0.25">
      <c r="A907">
        <v>906</v>
      </c>
      <c r="C907" s="22" t="s">
        <v>655</v>
      </c>
    </row>
    <row r="908" spans="1:3" ht="15.75" x14ac:dyDescent="0.25">
      <c r="A908">
        <v>907</v>
      </c>
      <c r="C908" s="22" t="s">
        <v>656</v>
      </c>
    </row>
    <row r="909" spans="1:3" ht="15.75" x14ac:dyDescent="0.25">
      <c r="A909">
        <v>908</v>
      </c>
      <c r="C909" s="22" t="s">
        <v>657</v>
      </c>
    </row>
    <row r="910" spans="1:3" ht="15.75" x14ac:dyDescent="0.25">
      <c r="A910">
        <v>909</v>
      </c>
      <c r="C910" s="22" t="s">
        <v>628</v>
      </c>
    </row>
    <row r="911" spans="1:3" ht="15.75" x14ac:dyDescent="0.25">
      <c r="A911">
        <v>910</v>
      </c>
      <c r="C911" s="22"/>
    </row>
    <row r="912" spans="1:3" ht="15.75" x14ac:dyDescent="0.25">
      <c r="A912">
        <v>911</v>
      </c>
      <c r="C912" s="22" t="s">
        <v>629</v>
      </c>
    </row>
    <row r="913" spans="1:3" ht="15.75" x14ac:dyDescent="0.25">
      <c r="A913">
        <v>912</v>
      </c>
      <c r="C913" s="22"/>
    </row>
    <row r="914" spans="1:3" ht="15.75" x14ac:dyDescent="0.25">
      <c r="A914">
        <v>913</v>
      </c>
      <c r="C914" s="22" t="s">
        <v>658</v>
      </c>
    </row>
    <row r="915" spans="1:3" ht="15.75" x14ac:dyDescent="0.25">
      <c r="A915">
        <v>914</v>
      </c>
      <c r="C915" s="22" t="s">
        <v>628</v>
      </c>
    </row>
    <row r="916" spans="1:3" ht="15.75" x14ac:dyDescent="0.25">
      <c r="A916">
        <v>915</v>
      </c>
      <c r="C916" s="22" t="s">
        <v>659</v>
      </c>
    </row>
    <row r="917" spans="1:3" ht="15.75" x14ac:dyDescent="0.25">
      <c r="A917">
        <v>916</v>
      </c>
      <c r="C917" s="22" t="s">
        <v>660</v>
      </c>
    </row>
    <row r="918" spans="1:3" ht="15.75" x14ac:dyDescent="0.25">
      <c r="A918">
        <v>917</v>
      </c>
      <c r="C918" s="22" t="s">
        <v>661</v>
      </c>
    </row>
    <row r="919" spans="1:3" ht="15.75" x14ac:dyDescent="0.25">
      <c r="A919">
        <v>918</v>
      </c>
      <c r="C919" s="22" t="s">
        <v>662</v>
      </c>
    </row>
    <row r="920" spans="1:3" ht="15.75" x14ac:dyDescent="0.25">
      <c r="A920">
        <v>919</v>
      </c>
      <c r="C920" s="22" t="s">
        <v>663</v>
      </c>
    </row>
    <row r="921" spans="1:3" ht="15.75" x14ac:dyDescent="0.25">
      <c r="A921">
        <v>920</v>
      </c>
      <c r="C921" s="22"/>
    </row>
    <row r="922" spans="1:3" ht="15.75" x14ac:dyDescent="0.25">
      <c r="A922">
        <v>921</v>
      </c>
      <c r="C922" s="39" t="s">
        <v>664</v>
      </c>
    </row>
    <row r="923" spans="1:3" ht="15.75" x14ac:dyDescent="0.25">
      <c r="A923">
        <v>922</v>
      </c>
      <c r="C923" s="39" t="s">
        <v>665</v>
      </c>
    </row>
    <row r="924" spans="1:3" ht="47.25" x14ac:dyDescent="0.25">
      <c r="A924">
        <v>923</v>
      </c>
      <c r="C924" s="39" t="s">
        <v>666</v>
      </c>
    </row>
    <row r="925" spans="1:3" x14ac:dyDescent="0.25">
      <c r="A925">
        <v>924</v>
      </c>
      <c r="C925" s="1"/>
    </row>
    <row r="926" spans="1:3" ht="15.75" x14ac:dyDescent="0.25">
      <c r="A926">
        <v>925</v>
      </c>
      <c r="C926" s="39" t="s">
        <v>667</v>
      </c>
    </row>
    <row r="927" spans="1:3" ht="47.25" x14ac:dyDescent="0.25">
      <c r="A927">
        <v>926</v>
      </c>
      <c r="C927" s="39" t="s">
        <v>668</v>
      </c>
    </row>
    <row r="928" spans="1:3" x14ac:dyDescent="0.25">
      <c r="A928">
        <v>927</v>
      </c>
      <c r="C928" s="1"/>
    </row>
    <row r="929" spans="1:3" ht="15.75" x14ac:dyDescent="0.25">
      <c r="A929">
        <v>928</v>
      </c>
      <c r="C929" s="39" t="s">
        <v>669</v>
      </c>
    </row>
    <row r="930" spans="1:3" ht="31.5" x14ac:dyDescent="0.25">
      <c r="A930">
        <v>929</v>
      </c>
      <c r="C930" s="39" t="s">
        <v>670</v>
      </c>
    </row>
    <row r="931" spans="1:3" ht="15.75" x14ac:dyDescent="0.25">
      <c r="A931">
        <v>930</v>
      </c>
      <c r="C931" s="22"/>
    </row>
    <row r="932" spans="1:3" x14ac:dyDescent="0.25">
      <c r="A932">
        <v>931</v>
      </c>
    </row>
    <row r="933" spans="1:3" ht="31.5" x14ac:dyDescent="0.25">
      <c r="A933">
        <v>932</v>
      </c>
      <c r="C933" s="6" t="s">
        <v>671</v>
      </c>
    </row>
    <row r="934" spans="1:3" x14ac:dyDescent="0.25">
      <c r="A934">
        <v>933</v>
      </c>
    </row>
    <row r="935" spans="1:3" ht="15.75" x14ac:dyDescent="0.25">
      <c r="A935">
        <v>934</v>
      </c>
      <c r="C935" s="6" t="s">
        <v>672</v>
      </c>
    </row>
    <row r="936" spans="1:3" x14ac:dyDescent="0.25">
      <c r="A936">
        <v>935</v>
      </c>
      <c r="C936" s="2"/>
    </row>
    <row r="937" spans="1:3" x14ac:dyDescent="0.25">
      <c r="A937">
        <v>936</v>
      </c>
    </row>
    <row r="938" spans="1:3" x14ac:dyDescent="0.25">
      <c r="A938">
        <v>937</v>
      </c>
    </row>
    <row r="939" spans="1:3" ht="22.5" x14ac:dyDescent="0.25">
      <c r="A939">
        <v>938</v>
      </c>
      <c r="C939" s="21" t="s">
        <v>673</v>
      </c>
    </row>
    <row r="940" spans="1:3" x14ac:dyDescent="0.25">
      <c r="A940">
        <v>939</v>
      </c>
    </row>
    <row r="941" spans="1:3" ht="15.75" x14ac:dyDescent="0.25">
      <c r="A941">
        <v>940</v>
      </c>
      <c r="C941" s="6" t="s">
        <v>674</v>
      </c>
    </row>
    <row r="942" spans="1:3" x14ac:dyDescent="0.25">
      <c r="A942">
        <v>941</v>
      </c>
    </row>
    <row r="943" spans="1:3" ht="15.75" x14ac:dyDescent="0.25">
      <c r="A943">
        <v>942</v>
      </c>
      <c r="C943" s="13" t="s">
        <v>675</v>
      </c>
    </row>
    <row r="944" spans="1:3" x14ac:dyDescent="0.25">
      <c r="A944">
        <v>943</v>
      </c>
    </row>
    <row r="945" spans="1:5" ht="15.75" x14ac:dyDescent="0.25">
      <c r="A945">
        <v>944</v>
      </c>
      <c r="C945" s="22" t="s">
        <v>676</v>
      </c>
    </row>
    <row r="946" spans="1:5" ht="31.5" x14ac:dyDescent="0.25">
      <c r="A946">
        <v>945</v>
      </c>
      <c r="C946" s="6" t="s">
        <v>677</v>
      </c>
    </row>
    <row r="947" spans="1:5" ht="15.75" x14ac:dyDescent="0.25">
      <c r="A947">
        <v>946</v>
      </c>
      <c r="C947" s="13" t="s">
        <v>678</v>
      </c>
    </row>
    <row r="948" spans="1:5" ht="15.75" x14ac:dyDescent="0.25">
      <c r="A948">
        <v>947</v>
      </c>
      <c r="C948" s="22" t="s">
        <v>679</v>
      </c>
    </row>
    <row r="949" spans="1:5" x14ac:dyDescent="0.25">
      <c r="A949">
        <v>948</v>
      </c>
      <c r="C949" s="1" t="s">
        <v>680</v>
      </c>
    </row>
    <row r="950" spans="1:5" x14ac:dyDescent="0.25">
      <c r="A950">
        <v>949</v>
      </c>
      <c r="C950" s="1"/>
    </row>
    <row r="951" spans="1:5" x14ac:dyDescent="0.25">
      <c r="A951">
        <v>950</v>
      </c>
    </row>
    <row r="952" spans="1:5" ht="22.5" x14ac:dyDescent="0.25">
      <c r="A952">
        <v>951</v>
      </c>
      <c r="C952" s="21" t="s">
        <v>681</v>
      </c>
    </row>
    <row r="953" spans="1:5" x14ac:dyDescent="0.25">
      <c r="A953">
        <v>952</v>
      </c>
    </row>
    <row r="954" spans="1:5" ht="15.75" x14ac:dyDescent="0.25">
      <c r="A954">
        <v>953</v>
      </c>
      <c r="C954" s="6" t="s">
        <v>682</v>
      </c>
    </row>
    <row r="955" spans="1:5" x14ac:dyDescent="0.25">
      <c r="A955">
        <v>954</v>
      </c>
    </row>
    <row r="956" spans="1:5" x14ac:dyDescent="0.25">
      <c r="A956">
        <v>955</v>
      </c>
      <c r="C956" s="3" t="s">
        <v>619</v>
      </c>
      <c r="D956" s="3"/>
      <c r="E956" s="3"/>
    </row>
    <row r="957" spans="1:5" x14ac:dyDescent="0.25">
      <c r="A957">
        <v>956</v>
      </c>
      <c r="C957" s="4" t="s">
        <v>746</v>
      </c>
      <c r="D957" s="1" t="s">
        <v>744</v>
      </c>
      <c r="E957" s="1" t="s">
        <v>745</v>
      </c>
    </row>
    <row r="958" spans="1:5" x14ac:dyDescent="0.25">
      <c r="A958">
        <v>957</v>
      </c>
      <c r="C958" s="4" t="s">
        <v>748</v>
      </c>
      <c r="D958" s="1" t="s">
        <v>747</v>
      </c>
      <c r="E958" s="1" t="s">
        <v>744</v>
      </c>
    </row>
    <row r="959" spans="1:5" ht="30" x14ac:dyDescent="0.25">
      <c r="A959">
        <v>958</v>
      </c>
      <c r="C959" s="1" t="s">
        <v>683</v>
      </c>
    </row>
    <row r="960" spans="1:5" ht="22.5" x14ac:dyDescent="0.25">
      <c r="A960">
        <v>959</v>
      </c>
      <c r="C960" s="21" t="s">
        <v>684</v>
      </c>
    </row>
    <row r="961" spans="1:3" ht="15.75" x14ac:dyDescent="0.25">
      <c r="A961">
        <v>960</v>
      </c>
      <c r="C961" s="6" t="s">
        <v>685</v>
      </c>
    </row>
    <row r="962" spans="1:3" x14ac:dyDescent="0.25">
      <c r="A962">
        <v>961</v>
      </c>
      <c r="C962" s="27"/>
    </row>
    <row r="963" spans="1:3" ht="15.75" x14ac:dyDescent="0.25">
      <c r="A963">
        <v>962</v>
      </c>
      <c r="C963" s="29" t="s">
        <v>686</v>
      </c>
    </row>
    <row r="964" spans="1:3" ht="15.75" x14ac:dyDescent="0.25">
      <c r="A964">
        <v>963</v>
      </c>
      <c r="C964" s="29" t="s">
        <v>687</v>
      </c>
    </row>
    <row r="965" spans="1:3" ht="15.75" x14ac:dyDescent="0.25">
      <c r="A965">
        <v>964</v>
      </c>
      <c r="C965" s="29" t="s">
        <v>688</v>
      </c>
    </row>
    <row r="966" spans="1:3" ht="15.75" x14ac:dyDescent="0.25">
      <c r="A966">
        <v>965</v>
      </c>
      <c r="C966" s="29" t="s">
        <v>689</v>
      </c>
    </row>
    <row r="967" spans="1:3" ht="15.75" x14ac:dyDescent="0.25">
      <c r="A967">
        <v>966</v>
      </c>
      <c r="C967" s="29" t="s">
        <v>690</v>
      </c>
    </row>
    <row r="968" spans="1:3" ht="15.75" x14ac:dyDescent="0.25">
      <c r="A968">
        <v>967</v>
      </c>
      <c r="C968" s="29" t="s">
        <v>691</v>
      </c>
    </row>
    <row r="969" spans="1:3" ht="15.75" x14ac:dyDescent="0.25">
      <c r="A969">
        <v>968</v>
      </c>
      <c r="C969" s="29" t="s">
        <v>692</v>
      </c>
    </row>
    <row r="970" spans="1:3" ht="15.75" x14ac:dyDescent="0.25">
      <c r="A970">
        <v>969</v>
      </c>
      <c r="C970" s="29" t="s">
        <v>693</v>
      </c>
    </row>
    <row r="971" spans="1:3" ht="26.25" x14ac:dyDescent="0.25">
      <c r="A971">
        <v>970</v>
      </c>
      <c r="C971" s="40" t="s">
        <v>694</v>
      </c>
    </row>
    <row r="972" spans="1:3" ht="15.75" x14ac:dyDescent="0.25">
      <c r="A972">
        <v>971</v>
      </c>
      <c r="C972" s="22" t="s">
        <v>695</v>
      </c>
    </row>
    <row r="973" spans="1:3" ht="15.75" x14ac:dyDescent="0.25">
      <c r="A973">
        <v>972</v>
      </c>
      <c r="C973" s="22" t="s">
        <v>696</v>
      </c>
    </row>
    <row r="974" spans="1:3" ht="15.75" x14ac:dyDescent="0.25">
      <c r="A974">
        <v>973</v>
      </c>
      <c r="C974" s="22" t="s">
        <v>697</v>
      </c>
    </row>
    <row r="975" spans="1:3" ht="15.75" x14ac:dyDescent="0.25">
      <c r="A975">
        <v>974</v>
      </c>
      <c r="C975" s="22" t="s">
        <v>698</v>
      </c>
    </row>
    <row r="976" spans="1:3" ht="15.75" x14ac:dyDescent="0.25">
      <c r="A976">
        <v>975</v>
      </c>
      <c r="C976" s="22" t="e">
        <f xml:space="preserve"> Net P&amp;L</f>
        <v>#NAME?</v>
      </c>
    </row>
    <row r="977" spans="1:3" ht="30" x14ac:dyDescent="0.25">
      <c r="A977">
        <v>976</v>
      </c>
      <c r="C977" s="1" t="s">
        <v>699</v>
      </c>
    </row>
    <row r="978" spans="1:3" ht="15.75" x14ac:dyDescent="0.25">
      <c r="A978">
        <v>977</v>
      </c>
      <c r="C978" s="22"/>
    </row>
    <row r="979" spans="1:3" x14ac:dyDescent="0.25">
      <c r="A979">
        <v>978</v>
      </c>
    </row>
    <row r="980" spans="1:3" ht="22.5" x14ac:dyDescent="0.25">
      <c r="A980">
        <v>979</v>
      </c>
      <c r="C980" s="21" t="s">
        <v>700</v>
      </c>
    </row>
    <row r="981" spans="1:3" x14ac:dyDescent="0.25">
      <c r="A981">
        <v>980</v>
      </c>
    </row>
    <row r="982" spans="1:3" ht="31.5" x14ac:dyDescent="0.25">
      <c r="A982">
        <v>981</v>
      </c>
      <c r="C982" s="13" t="s">
        <v>701</v>
      </c>
    </row>
    <row r="983" spans="1:3" x14ac:dyDescent="0.25">
      <c r="A983">
        <v>982</v>
      </c>
    </row>
    <row r="984" spans="1:3" ht="22.5" x14ac:dyDescent="0.25">
      <c r="A984">
        <v>983</v>
      </c>
      <c r="C984" s="21" t="s">
        <v>702</v>
      </c>
    </row>
    <row r="985" spans="1:3" x14ac:dyDescent="0.25">
      <c r="A985">
        <v>984</v>
      </c>
      <c r="C985" s="27"/>
    </row>
    <row r="986" spans="1:3" ht="15.75" x14ac:dyDescent="0.25">
      <c r="A986">
        <v>985</v>
      </c>
      <c r="C986" s="28" t="s">
        <v>703</v>
      </c>
    </row>
    <row r="987" spans="1:3" ht="15.75" x14ac:dyDescent="0.25">
      <c r="A987">
        <v>986</v>
      </c>
      <c r="C987" s="28" t="s">
        <v>704</v>
      </c>
    </row>
    <row r="988" spans="1:3" ht="15.75" x14ac:dyDescent="0.25">
      <c r="A988">
        <v>987</v>
      </c>
      <c r="C988" s="28" t="s">
        <v>705</v>
      </c>
    </row>
    <row r="989" spans="1:3" ht="15.75" x14ac:dyDescent="0.25">
      <c r="A989">
        <v>988</v>
      </c>
      <c r="C989" s="28" t="s">
        <v>706</v>
      </c>
    </row>
    <row r="990" spans="1:3" ht="31.5" x14ac:dyDescent="0.25">
      <c r="A990">
        <v>989</v>
      </c>
      <c r="C990" s="6" t="s">
        <v>707</v>
      </c>
    </row>
    <row r="991" spans="1:3" ht="15.75" x14ac:dyDescent="0.25">
      <c r="A991">
        <v>990</v>
      </c>
      <c r="C991" s="14" t="s">
        <v>708</v>
      </c>
    </row>
    <row r="992" spans="1:3" ht="42.75" x14ac:dyDescent="0.25">
      <c r="A992">
        <v>991</v>
      </c>
      <c r="C992" s="42" t="s">
        <v>709</v>
      </c>
    </row>
    <row r="993" spans="1:3" x14ac:dyDescent="0.25">
      <c r="A993">
        <v>992</v>
      </c>
      <c r="C993" s="43" t="s">
        <v>710</v>
      </c>
    </row>
    <row r="994" spans="1:3" x14ac:dyDescent="0.25">
      <c r="A994">
        <v>993</v>
      </c>
      <c r="C994" s="43" t="s">
        <v>711</v>
      </c>
    </row>
    <row r="995" spans="1:3" x14ac:dyDescent="0.25">
      <c r="A995">
        <v>994</v>
      </c>
      <c r="C995" s="44" t="s">
        <v>712</v>
      </c>
    </row>
    <row r="996" spans="1:3" x14ac:dyDescent="0.25">
      <c r="A996">
        <v>995</v>
      </c>
      <c r="C996" s="44"/>
    </row>
    <row r="997" spans="1:3" ht="15.75" x14ac:dyDescent="0.25">
      <c r="A997">
        <v>996</v>
      </c>
      <c r="C997" s="45" t="s">
        <v>713</v>
      </c>
    </row>
    <row r="998" spans="1:3" ht="42.75" x14ac:dyDescent="0.25">
      <c r="A998">
        <v>997</v>
      </c>
      <c r="C998" s="42" t="s">
        <v>714</v>
      </c>
    </row>
    <row r="999" spans="1:3" x14ac:dyDescent="0.25">
      <c r="A999">
        <v>998</v>
      </c>
      <c r="C999" s="43" t="s">
        <v>715</v>
      </c>
    </row>
    <row r="1000" spans="1:3" x14ac:dyDescent="0.25">
      <c r="A1000">
        <v>999</v>
      </c>
      <c r="C1000" s="43" t="s">
        <v>716</v>
      </c>
    </row>
    <row r="1001" spans="1:3" x14ac:dyDescent="0.25">
      <c r="A1001">
        <v>1000</v>
      </c>
      <c r="C1001" s="43" t="s">
        <v>717</v>
      </c>
    </row>
    <row r="1002" spans="1:3" x14ac:dyDescent="0.25">
      <c r="A1002">
        <v>1001</v>
      </c>
      <c r="C1002" s="43" t="s">
        <v>718</v>
      </c>
    </row>
    <row r="1003" spans="1:3" x14ac:dyDescent="0.25">
      <c r="A1003">
        <v>1002</v>
      </c>
      <c r="C1003" s="44" t="s">
        <v>719</v>
      </c>
    </row>
    <row r="1004" spans="1:3" x14ac:dyDescent="0.25">
      <c r="A1004">
        <v>1003</v>
      </c>
      <c r="C1004" s="44"/>
    </row>
    <row r="1005" spans="1:3" ht="15.75" x14ac:dyDescent="0.25">
      <c r="A1005">
        <v>1004</v>
      </c>
      <c r="C1005" s="45" t="s">
        <v>720</v>
      </c>
    </row>
    <row r="1006" spans="1:3" ht="42.75" x14ac:dyDescent="0.25">
      <c r="A1006">
        <v>1005</v>
      </c>
      <c r="C1006" s="42" t="s">
        <v>721</v>
      </c>
    </row>
    <row r="1007" spans="1:3" x14ac:dyDescent="0.25">
      <c r="A1007">
        <v>1006</v>
      </c>
      <c r="C1007" s="43" t="s">
        <v>722</v>
      </c>
    </row>
    <row r="1008" spans="1:3" x14ac:dyDescent="0.25">
      <c r="A1008">
        <v>1007</v>
      </c>
      <c r="C1008" s="43" t="s">
        <v>723</v>
      </c>
    </row>
    <row r="1009" spans="1:3" x14ac:dyDescent="0.25">
      <c r="A1009">
        <v>1008</v>
      </c>
      <c r="C1009" s="43" t="s">
        <v>724</v>
      </c>
    </row>
    <row r="1010" spans="1:3" x14ac:dyDescent="0.25">
      <c r="A1010">
        <v>1009</v>
      </c>
      <c r="C1010" s="43" t="s">
        <v>725</v>
      </c>
    </row>
    <row r="1011" spans="1:3" x14ac:dyDescent="0.25">
      <c r="A1011">
        <v>1010</v>
      </c>
      <c r="C1011" s="44" t="s">
        <v>726</v>
      </c>
    </row>
    <row r="1012" spans="1:3" x14ac:dyDescent="0.25">
      <c r="A1012">
        <v>1011</v>
      </c>
      <c r="C1012" s="44"/>
    </row>
    <row r="1013" spans="1:3" ht="15.75" x14ac:dyDescent="0.25">
      <c r="A1013">
        <v>1012</v>
      </c>
      <c r="C1013" s="45" t="s">
        <v>727</v>
      </c>
    </row>
    <row r="1014" spans="1:3" ht="28.5" x14ac:dyDescent="0.25">
      <c r="A1014">
        <v>1013</v>
      </c>
      <c r="C1014" s="42" t="s">
        <v>728</v>
      </c>
    </row>
    <row r="1015" spans="1:3" x14ac:dyDescent="0.25">
      <c r="A1015">
        <v>1014</v>
      </c>
      <c r="C1015" s="43" t="s">
        <v>729</v>
      </c>
    </row>
    <row r="1016" spans="1:3" x14ac:dyDescent="0.25">
      <c r="A1016">
        <v>1015</v>
      </c>
      <c r="C1016" s="43" t="s">
        <v>730</v>
      </c>
    </row>
    <row r="1017" spans="1:3" x14ac:dyDescent="0.25">
      <c r="A1017">
        <v>1016</v>
      </c>
      <c r="C1017" s="43" t="s">
        <v>731</v>
      </c>
    </row>
    <row r="1018" spans="1:3" x14ac:dyDescent="0.25">
      <c r="A1018">
        <v>1017</v>
      </c>
      <c r="C1018" s="43" t="s">
        <v>732</v>
      </c>
    </row>
    <row r="1019" spans="1:3" x14ac:dyDescent="0.25">
      <c r="A1019">
        <v>1018</v>
      </c>
      <c r="C1019" s="43" t="s">
        <v>733</v>
      </c>
    </row>
    <row r="1020" spans="1:3" x14ac:dyDescent="0.25">
      <c r="A1020">
        <v>1019</v>
      </c>
      <c r="C1020" s="44" t="s">
        <v>734</v>
      </c>
    </row>
    <row r="1021" spans="1:3" x14ac:dyDescent="0.25">
      <c r="A1021">
        <v>1020</v>
      </c>
      <c r="C1021" s="44"/>
    </row>
    <row r="1022" spans="1:3" ht="15.75" x14ac:dyDescent="0.25">
      <c r="A1022">
        <v>1021</v>
      </c>
      <c r="C1022" s="45" t="s">
        <v>735</v>
      </c>
    </row>
    <row r="1023" spans="1:3" ht="42.75" x14ac:dyDescent="0.25">
      <c r="A1023">
        <v>1022</v>
      </c>
      <c r="C1023" s="42" t="s">
        <v>736</v>
      </c>
    </row>
    <row r="1024" spans="1:3" x14ac:dyDescent="0.25">
      <c r="A1024">
        <v>1023</v>
      </c>
      <c r="C1024" s="44" t="s">
        <v>737</v>
      </c>
    </row>
    <row r="1025" spans="1:3" ht="15.75" x14ac:dyDescent="0.25">
      <c r="A1025">
        <v>1024</v>
      </c>
      <c r="C1025" s="22"/>
    </row>
    <row r="1026" spans="1:3" ht="15.75" x14ac:dyDescent="0.25">
      <c r="A1026">
        <v>1025</v>
      </c>
      <c r="C1026" s="46"/>
    </row>
    <row r="1027" spans="1:3" ht="15.75" x14ac:dyDescent="0.25">
      <c r="A1027">
        <v>1026</v>
      </c>
      <c r="C1027" s="22"/>
    </row>
    <row r="1028" spans="1:3" ht="45" x14ac:dyDescent="0.25">
      <c r="A1028">
        <v>1027</v>
      </c>
      <c r="B1028" s="46">
        <v>46103</v>
      </c>
      <c r="C1028" s="1" t="s">
        <v>738</v>
      </c>
    </row>
    <row r="1029" spans="1:3" ht="15.75" x14ac:dyDescent="0.25">
      <c r="A1029">
        <v>1028</v>
      </c>
      <c r="B1029" s="46">
        <v>46103</v>
      </c>
    </row>
    <row r="1030" spans="1:3" ht="15.75" x14ac:dyDescent="0.25">
      <c r="A1030">
        <v>1029</v>
      </c>
      <c r="B1030" s="46">
        <v>46103</v>
      </c>
      <c r="C1030" s="22" t="s">
        <v>739</v>
      </c>
    </row>
    <row r="1031" spans="1:3" ht="15.75" x14ac:dyDescent="0.25">
      <c r="A1031">
        <v>1030</v>
      </c>
      <c r="B1031" s="46">
        <v>46103</v>
      </c>
    </row>
    <row r="1032" spans="1:3" ht="15.75" x14ac:dyDescent="0.25">
      <c r="A1032">
        <v>1031</v>
      </c>
      <c r="B1032" s="46">
        <v>46103</v>
      </c>
      <c r="C1032" s="13" t="s">
        <v>740</v>
      </c>
    </row>
    <row r="1033" spans="1:3" ht="15.75" x14ac:dyDescent="0.25">
      <c r="A1033">
        <v>1032</v>
      </c>
      <c r="B1033" s="46">
        <v>46103</v>
      </c>
      <c r="C1033" s="1"/>
    </row>
    <row r="1034" spans="1:3" ht="22.5" x14ac:dyDescent="0.25">
      <c r="A1034">
        <v>1033</v>
      </c>
      <c r="B1034" s="46">
        <v>46103</v>
      </c>
      <c r="C1034" s="21" t="s">
        <v>741</v>
      </c>
    </row>
    <row r="1035" spans="1:3" ht="142.5" customHeight="1" x14ac:dyDescent="0.25">
      <c r="A1035">
        <v>1034</v>
      </c>
      <c r="B1035" s="46">
        <v>46103</v>
      </c>
    </row>
    <row r="1036" spans="1:3" ht="47.25" x14ac:dyDescent="0.25">
      <c r="A1036">
        <v>1035</v>
      </c>
      <c r="B1036" s="46">
        <v>46103</v>
      </c>
      <c r="C1036" s="13" t="s">
        <v>742</v>
      </c>
    </row>
    <row r="1037" spans="1:3" ht="15.75" x14ac:dyDescent="0.25">
      <c r="A1037">
        <v>1036</v>
      </c>
      <c r="B1037" s="46">
        <v>46103</v>
      </c>
    </row>
    <row r="1038" spans="1:3" ht="31.5" x14ac:dyDescent="0.25">
      <c r="A1038">
        <v>1037</v>
      </c>
      <c r="B1038" s="46">
        <v>46103</v>
      </c>
      <c r="C1038" s="13" t="s">
        <v>743</v>
      </c>
    </row>
    <row r="1039" spans="1:3" x14ac:dyDescent="0.25">
      <c r="A1039">
        <v>1038</v>
      </c>
      <c r="B1039" s="15">
        <v>46114</v>
      </c>
      <c r="C1039" s="41" t="s">
        <v>762</v>
      </c>
    </row>
    <row r="1040" spans="1:3" ht="15.75" x14ac:dyDescent="0.25">
      <c r="A1040">
        <v>1039</v>
      </c>
      <c r="B1040" s="15">
        <v>46115</v>
      </c>
      <c r="C1040" s="22" t="s">
        <v>763</v>
      </c>
    </row>
    <row r="1041" spans="1:3" x14ac:dyDescent="0.25">
      <c r="A1041">
        <v>1040</v>
      </c>
      <c r="B1041" s="15">
        <v>46116</v>
      </c>
      <c r="C1041" s="41" t="s">
        <v>764</v>
      </c>
    </row>
    <row r="1042" spans="1:3" x14ac:dyDescent="0.25">
      <c r="A1042">
        <v>1041</v>
      </c>
      <c r="B1042" s="15">
        <v>46117</v>
      </c>
      <c r="C1042" s="41" t="s">
        <v>764</v>
      </c>
    </row>
    <row r="1043" spans="1:3" x14ac:dyDescent="0.25">
      <c r="A1043">
        <v>1042</v>
      </c>
      <c r="B1043" s="15">
        <v>46118</v>
      </c>
      <c r="C1043" s="41" t="s">
        <v>765</v>
      </c>
    </row>
    <row r="1044" spans="1:3" x14ac:dyDescent="0.25">
      <c r="A1044">
        <v>1043</v>
      </c>
      <c r="B1044" s="15">
        <v>46119</v>
      </c>
      <c r="C1044" s="41" t="s">
        <v>766</v>
      </c>
    </row>
    <row r="1045" spans="1:3" x14ac:dyDescent="0.25">
      <c r="A1045">
        <v>1044</v>
      </c>
      <c r="B1045" s="15">
        <v>46120</v>
      </c>
      <c r="C1045" s="41" t="s">
        <v>767</v>
      </c>
    </row>
    <row r="1046" spans="1:3" x14ac:dyDescent="0.25">
      <c r="A1046">
        <v>1045</v>
      </c>
      <c r="B1046" s="15">
        <v>46121</v>
      </c>
      <c r="C1046" s="41" t="s">
        <v>771</v>
      </c>
    </row>
    <row r="1047" spans="1:3" x14ac:dyDescent="0.25">
      <c r="A1047">
        <v>1046</v>
      </c>
      <c r="B1047" s="15">
        <v>46122</v>
      </c>
      <c r="C1047" s="41" t="s">
        <v>772</v>
      </c>
    </row>
    <row r="1048" spans="1:3" x14ac:dyDescent="0.25">
      <c r="A1048">
        <v>1047</v>
      </c>
      <c r="B1048" s="15">
        <v>46122</v>
      </c>
      <c r="C1048" s="41" t="s">
        <v>775</v>
      </c>
    </row>
    <row r="1049" spans="1:3" x14ac:dyDescent="0.25">
      <c r="A1049">
        <v>1048</v>
      </c>
      <c r="B1049" s="15">
        <v>46123</v>
      </c>
      <c r="C1049" s="41" t="s">
        <v>777</v>
      </c>
    </row>
    <row r="1050" spans="1:3" x14ac:dyDescent="0.25">
      <c r="A1050">
        <v>1049</v>
      </c>
      <c r="B1050" s="15">
        <v>46124</v>
      </c>
      <c r="C1050" s="41" t="s">
        <v>779</v>
      </c>
    </row>
    <row r="1051" spans="1:3" ht="30" x14ac:dyDescent="0.25">
      <c r="A1051">
        <v>1050</v>
      </c>
      <c r="B1051" s="15">
        <v>46125</v>
      </c>
      <c r="C1051" s="41" t="s">
        <v>778</v>
      </c>
    </row>
    <row r="1052" spans="1:3" ht="30" x14ac:dyDescent="0.25">
      <c r="A1052">
        <v>1051</v>
      </c>
      <c r="B1052" s="15">
        <v>46126</v>
      </c>
      <c r="C1052" s="41" t="s">
        <v>780</v>
      </c>
    </row>
    <row r="1053" spans="1:3" ht="30" x14ac:dyDescent="0.25">
      <c r="A1053">
        <v>1052</v>
      </c>
      <c r="B1053" s="15">
        <v>46127</v>
      </c>
      <c r="C1053" s="41" t="s">
        <v>783</v>
      </c>
    </row>
    <row r="1054" spans="1:3" x14ac:dyDescent="0.25">
      <c r="A1054">
        <v>1053</v>
      </c>
      <c r="B1054" s="15">
        <v>46128</v>
      </c>
      <c r="C1054" s="41" t="s">
        <v>784</v>
      </c>
    </row>
    <row r="1055" spans="1:3" x14ac:dyDescent="0.25">
      <c r="A1055">
        <v>1054</v>
      </c>
      <c r="B1055" s="15">
        <v>46129</v>
      </c>
    </row>
    <row r="1056" spans="1:3" x14ac:dyDescent="0.25">
      <c r="A1056">
        <v>1055</v>
      </c>
    </row>
    <row r="1057" spans="1:1" x14ac:dyDescent="0.25">
      <c r="A1057">
        <v>1056</v>
      </c>
    </row>
    <row r="1058" spans="1:1" x14ac:dyDescent="0.25">
      <c r="A1058">
        <v>1057</v>
      </c>
    </row>
    <row r="1059" spans="1:1" x14ac:dyDescent="0.25">
      <c r="A1059">
        <v>1058</v>
      </c>
    </row>
    <row r="1060" spans="1:1" x14ac:dyDescent="0.25">
      <c r="A1060">
        <v>1059</v>
      </c>
    </row>
    <row r="1061" spans="1:1" x14ac:dyDescent="0.25">
      <c r="A1061">
        <v>1060</v>
      </c>
    </row>
    <row r="1062" spans="1:1" x14ac:dyDescent="0.25">
      <c r="A1062">
        <v>1061</v>
      </c>
    </row>
    <row r="1063" spans="1:1" x14ac:dyDescent="0.25">
      <c r="A1063">
        <v>1062</v>
      </c>
    </row>
    <row r="1064" spans="1:1" x14ac:dyDescent="0.25">
      <c r="A1064">
        <v>1063</v>
      </c>
    </row>
    <row r="1065" spans="1:1" x14ac:dyDescent="0.25">
      <c r="A1065">
        <v>1064</v>
      </c>
    </row>
    <row r="1066" spans="1:1" x14ac:dyDescent="0.25">
      <c r="A1066">
        <v>1065</v>
      </c>
    </row>
    <row r="1067" spans="1:1" x14ac:dyDescent="0.25">
      <c r="A1067">
        <v>1066</v>
      </c>
    </row>
    <row r="1068" spans="1:1" x14ac:dyDescent="0.25">
      <c r="A1068">
        <v>1067</v>
      </c>
    </row>
    <row r="1069" spans="1:1" x14ac:dyDescent="0.25">
      <c r="A1069">
        <v>1068</v>
      </c>
    </row>
    <row r="1070" spans="1:1" x14ac:dyDescent="0.25">
      <c r="A1070">
        <v>1069</v>
      </c>
    </row>
    <row r="1071" spans="1:1" x14ac:dyDescent="0.25">
      <c r="A1071">
        <v>1070</v>
      </c>
    </row>
    <row r="1072" spans="1:1" x14ac:dyDescent="0.25">
      <c r="A1072">
        <v>1071</v>
      </c>
    </row>
    <row r="1073" spans="1:1" x14ac:dyDescent="0.25">
      <c r="A1073">
        <v>1072</v>
      </c>
    </row>
    <row r="1074" spans="1:1" x14ac:dyDescent="0.25">
      <c r="A1074">
        <v>1073</v>
      </c>
    </row>
    <row r="1075" spans="1:1" x14ac:dyDescent="0.25">
      <c r="A1075">
        <v>1074</v>
      </c>
    </row>
    <row r="1076" spans="1:1" x14ac:dyDescent="0.25">
      <c r="A1076">
        <v>1075</v>
      </c>
    </row>
    <row r="1077" spans="1:1" x14ac:dyDescent="0.25">
      <c r="A1077">
        <v>1076</v>
      </c>
    </row>
    <row r="1078" spans="1:1" x14ac:dyDescent="0.25">
      <c r="A1078">
        <v>1077</v>
      </c>
    </row>
    <row r="1079" spans="1:1" x14ac:dyDescent="0.25">
      <c r="A1079">
        <v>1078</v>
      </c>
    </row>
    <row r="1080" spans="1:1" x14ac:dyDescent="0.25">
      <c r="A1080">
        <v>1079</v>
      </c>
    </row>
    <row r="1081" spans="1:1" x14ac:dyDescent="0.25">
      <c r="A1081">
        <v>1080</v>
      </c>
    </row>
    <row r="1082" spans="1:1" x14ac:dyDescent="0.25">
      <c r="A1082">
        <v>1081</v>
      </c>
    </row>
    <row r="1083" spans="1:1" x14ac:dyDescent="0.25">
      <c r="A1083">
        <v>1082</v>
      </c>
    </row>
    <row r="1084" spans="1:1" x14ac:dyDescent="0.25">
      <c r="A1084">
        <v>1083</v>
      </c>
    </row>
    <row r="1085" spans="1:1" x14ac:dyDescent="0.25">
      <c r="A1085">
        <v>1084</v>
      </c>
    </row>
    <row r="1086" spans="1:1" x14ac:dyDescent="0.25">
      <c r="A1086">
        <v>1085</v>
      </c>
    </row>
    <row r="1087" spans="1:1" x14ac:dyDescent="0.25">
      <c r="A1087">
        <v>1086</v>
      </c>
    </row>
    <row r="1088" spans="1:1" x14ac:dyDescent="0.25">
      <c r="A1088">
        <v>1087</v>
      </c>
    </row>
    <row r="1089" spans="1:1" x14ac:dyDescent="0.25">
      <c r="A1089">
        <v>1088</v>
      </c>
    </row>
    <row r="1090" spans="1:1" x14ac:dyDescent="0.25">
      <c r="A1090">
        <v>1089</v>
      </c>
    </row>
    <row r="1091" spans="1:1" x14ac:dyDescent="0.25">
      <c r="A1091">
        <v>1090</v>
      </c>
    </row>
    <row r="1092" spans="1:1" x14ac:dyDescent="0.25">
      <c r="A1092">
        <v>1091</v>
      </c>
    </row>
    <row r="1093" spans="1:1" x14ac:dyDescent="0.25">
      <c r="A1093">
        <v>1092</v>
      </c>
    </row>
    <row r="1094" spans="1:1" x14ac:dyDescent="0.25">
      <c r="A1094">
        <v>1093</v>
      </c>
    </row>
    <row r="1095" spans="1:1" x14ac:dyDescent="0.25">
      <c r="A1095">
        <v>1094</v>
      </c>
    </row>
    <row r="1096" spans="1:1" x14ac:dyDescent="0.25">
      <c r="A1096">
        <v>1095</v>
      </c>
    </row>
    <row r="1097" spans="1:1" x14ac:dyDescent="0.25">
      <c r="A1097">
        <v>1096</v>
      </c>
    </row>
    <row r="1098" spans="1:1" x14ac:dyDescent="0.25">
      <c r="A1098">
        <v>1097</v>
      </c>
    </row>
    <row r="1099" spans="1:1" x14ac:dyDescent="0.25">
      <c r="A1099">
        <v>1098</v>
      </c>
    </row>
    <row r="1100" spans="1:1" x14ac:dyDescent="0.25">
      <c r="A1100">
        <v>1099</v>
      </c>
    </row>
    <row r="1101" spans="1:1" x14ac:dyDescent="0.25">
      <c r="A1101">
        <v>1100</v>
      </c>
    </row>
    <row r="1102" spans="1:1" x14ac:dyDescent="0.25">
      <c r="A1102">
        <v>1101</v>
      </c>
    </row>
  </sheetData>
  <hyperlinks>
    <hyperlink ref="C595" r:id="rId1" display="https://www.bybit.com/derivatives/en/history-data"/>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tabSelected="1" topLeftCell="A7" workbookViewId="0">
      <selection activeCell="D15" sqref="D15"/>
    </sheetView>
  </sheetViews>
  <sheetFormatPr defaultRowHeight="15" x14ac:dyDescent="0.25"/>
  <cols>
    <col min="1" max="1" width="15.42578125" customWidth="1"/>
    <col min="2" max="2" width="16.28515625" style="49" customWidth="1"/>
    <col min="3" max="3" width="17.7109375" style="58" customWidth="1"/>
    <col min="4" max="4" width="24.28515625" customWidth="1"/>
  </cols>
  <sheetData>
    <row r="1" spans="1:5" ht="50.25" customHeight="1" x14ac:dyDescent="0.35">
      <c r="A1" s="53"/>
      <c r="B1" s="54" t="s">
        <v>776</v>
      </c>
      <c r="C1" s="55">
        <v>100000</v>
      </c>
    </row>
    <row r="2" spans="1:5" x14ac:dyDescent="0.25">
      <c r="A2" s="50">
        <v>46114</v>
      </c>
      <c r="B2" s="51"/>
      <c r="C2" s="56"/>
    </row>
    <row r="3" spans="1:5" x14ac:dyDescent="0.25">
      <c r="A3" s="50">
        <v>46115</v>
      </c>
      <c r="B3" s="52">
        <v>1738</v>
      </c>
      <c r="C3" s="56">
        <f>B3/C1*100</f>
        <v>1.738</v>
      </c>
    </row>
    <row r="4" spans="1:5" x14ac:dyDescent="0.25">
      <c r="A4" s="50">
        <v>46116</v>
      </c>
      <c r="B4" s="52">
        <v>2951</v>
      </c>
      <c r="C4" s="56">
        <f>B4/C1*100</f>
        <v>2.9510000000000001</v>
      </c>
    </row>
    <row r="5" spans="1:5" x14ac:dyDescent="0.25">
      <c r="A5" s="50">
        <v>46117</v>
      </c>
      <c r="B5" s="52">
        <v>3250</v>
      </c>
      <c r="C5" s="56">
        <f>B5/C1*100</f>
        <v>3.25</v>
      </c>
    </row>
    <row r="6" spans="1:5" x14ac:dyDescent="0.25">
      <c r="A6" s="50">
        <v>46118</v>
      </c>
      <c r="B6" s="52"/>
      <c r="C6" s="56">
        <f>B6/C1*100</f>
        <v>0</v>
      </c>
      <c r="D6" t="s">
        <v>768</v>
      </c>
    </row>
    <row r="7" spans="1:5" x14ac:dyDescent="0.25">
      <c r="A7" s="50">
        <v>46119</v>
      </c>
      <c r="B7" s="52">
        <v>253</v>
      </c>
      <c r="C7" s="56">
        <f>B7/C1*100</f>
        <v>0.253</v>
      </c>
    </row>
    <row r="8" spans="1:5" x14ac:dyDescent="0.25">
      <c r="A8" s="50">
        <v>46120</v>
      </c>
      <c r="B8" s="52">
        <v>523</v>
      </c>
      <c r="C8" s="56">
        <f>B8/C1*100</f>
        <v>0.52300000000000002</v>
      </c>
      <c r="D8" t="s">
        <v>769</v>
      </c>
      <c r="E8" t="s">
        <v>770</v>
      </c>
    </row>
    <row r="9" spans="1:5" x14ac:dyDescent="0.25">
      <c r="A9" s="50">
        <v>46121</v>
      </c>
      <c r="B9" s="52">
        <v>1700</v>
      </c>
      <c r="C9" s="56">
        <f>B9/C1*100</f>
        <v>1.7000000000000002</v>
      </c>
      <c r="D9" t="s">
        <v>774</v>
      </c>
      <c r="E9" t="s">
        <v>770</v>
      </c>
    </row>
    <row r="10" spans="1:5" x14ac:dyDescent="0.25">
      <c r="A10" s="50">
        <v>46122</v>
      </c>
      <c r="B10" s="52">
        <v>716</v>
      </c>
      <c r="C10" s="56">
        <f>B10/C1*100</f>
        <v>0.71599999999999997</v>
      </c>
      <c r="D10" t="s">
        <v>773</v>
      </c>
      <c r="E10" t="s">
        <v>770</v>
      </c>
    </row>
    <row r="11" spans="1:5" x14ac:dyDescent="0.25">
      <c r="A11" s="50">
        <v>46125</v>
      </c>
      <c r="B11" s="52">
        <v>1357</v>
      </c>
      <c r="C11" s="56">
        <f>B11/C1*100</f>
        <v>1.357</v>
      </c>
      <c r="D11" t="s">
        <v>782</v>
      </c>
      <c r="E11" t="s">
        <v>770</v>
      </c>
    </row>
    <row r="12" spans="1:5" x14ac:dyDescent="0.25">
      <c r="A12" s="50">
        <v>46126</v>
      </c>
      <c r="B12" s="52">
        <v>1340</v>
      </c>
      <c r="C12" s="56">
        <f>B12/C1*100</f>
        <v>1.34</v>
      </c>
      <c r="D12" t="s">
        <v>781</v>
      </c>
      <c r="E12" t="s">
        <v>770</v>
      </c>
    </row>
    <row r="13" spans="1:5" x14ac:dyDescent="0.25">
      <c r="A13" s="50">
        <v>46127</v>
      </c>
      <c r="B13" s="52">
        <v>1590</v>
      </c>
      <c r="C13" s="56">
        <f>B13/C1*100</f>
        <v>1.59</v>
      </c>
      <c r="D13" t="s">
        <v>781</v>
      </c>
      <c r="E13" t="s">
        <v>770</v>
      </c>
    </row>
    <row r="14" spans="1:5" x14ac:dyDescent="0.25">
      <c r="A14" s="50">
        <v>46128</v>
      </c>
      <c r="B14" s="52">
        <v>20</v>
      </c>
      <c r="C14" s="56">
        <f>B14/C1*100</f>
        <v>0.02</v>
      </c>
    </row>
    <row r="17" spans="3:3" x14ac:dyDescent="0.25">
      <c r="C17" s="57">
        <f>SUM(C3:C16)</f>
        <v>15.437999999999997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History_flow</vt:lpstr>
      <vt:lpstr>Iive_Demo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2026-04-03T04:49:08Z</dcterms:created>
  <dcterms:modified xsi:type="dcterms:W3CDTF">2026-04-16T20:32:13Z</dcterms:modified>
</cp:coreProperties>
</file>